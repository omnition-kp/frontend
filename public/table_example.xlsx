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filterPrivacy="1"/>
  <xr:revisionPtr revIDLastSave="0" documentId="8_{C786D911-D938-E14A-A72E-64779A112E2E}" xr6:coauthVersionLast="47" xr6:coauthVersionMax="47" xr10:uidLastSave="{00000000-0000-0000-0000-000000000000}"/>
  <bookViews>
    <workbookView xWindow="0" yWindow="760" windowWidth="29040" windowHeight="15840" tabRatio="750" xr2:uid="{00000000-000D-0000-FFFF-FFFF00000000}"/>
  </bookViews>
  <sheets>
    <sheet name="Полное" sheetId="10" r:id="rId1"/>
  </sheets>
  <definedNames>
    <definedName name="_xlnm.Print_Area" localSheetId="0">Полное!$A$1:$I$161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0" l="1"/>
  <c r="H12" i="10"/>
  <c r="H11" i="10"/>
  <c r="H9" i="10"/>
  <c r="H13" i="10"/>
  <c r="H41" i="10" l="1"/>
  <c r="H39" i="10"/>
  <c r="H40" i="10"/>
  <c r="H155" i="10" l="1"/>
  <c r="G155" i="10"/>
  <c r="H154" i="10"/>
  <c r="G154" i="10"/>
  <c r="H153" i="10"/>
  <c r="G153" i="10"/>
  <c r="I153" i="10" s="1"/>
  <c r="H152" i="10"/>
  <c r="G152" i="10"/>
  <c r="H151" i="10"/>
  <c r="G151" i="10"/>
  <c r="H150" i="10"/>
  <c r="G150" i="10"/>
  <c r="H144" i="10"/>
  <c r="G144" i="10"/>
  <c r="H143" i="10"/>
  <c r="G143" i="10"/>
  <c r="H142" i="10"/>
  <c r="G142" i="10"/>
  <c r="H141" i="10"/>
  <c r="G141" i="10"/>
  <c r="H140" i="10"/>
  <c r="G140" i="10"/>
  <c r="H139" i="10"/>
  <c r="G139" i="10"/>
  <c r="H138" i="10"/>
  <c r="G138" i="10"/>
  <c r="H137" i="10"/>
  <c r="G137" i="10"/>
  <c r="H136" i="10"/>
  <c r="G136" i="10"/>
  <c r="H135" i="10"/>
  <c r="G135" i="10"/>
  <c r="H134" i="10"/>
  <c r="G134" i="10"/>
  <c r="H133" i="10"/>
  <c r="G133" i="10"/>
  <c r="H132" i="10"/>
  <c r="G132" i="10"/>
  <c r="H131" i="10"/>
  <c r="G131" i="10"/>
  <c r="H130" i="10"/>
  <c r="G130" i="10"/>
  <c r="H129" i="10"/>
  <c r="G129" i="10"/>
  <c r="H128" i="10"/>
  <c r="G128" i="10"/>
  <c r="H127" i="10"/>
  <c r="G127" i="10"/>
  <c r="H126" i="10"/>
  <c r="G126" i="10"/>
  <c r="H125" i="10"/>
  <c r="G125" i="10"/>
  <c r="H124" i="10"/>
  <c r="G124" i="10"/>
  <c r="H123" i="10"/>
  <c r="G123" i="10"/>
  <c r="H122" i="10"/>
  <c r="G122" i="10"/>
  <c r="H121" i="10"/>
  <c r="G121" i="10"/>
  <c r="H120" i="10"/>
  <c r="G120" i="10"/>
  <c r="H119" i="10"/>
  <c r="G119" i="10"/>
  <c r="H118" i="10"/>
  <c r="G118" i="10"/>
  <c r="H117" i="10"/>
  <c r="G117" i="10"/>
  <c r="H116" i="10"/>
  <c r="G116" i="10"/>
  <c r="H115" i="10"/>
  <c r="G115" i="10"/>
  <c r="H114" i="10"/>
  <c r="G114" i="10"/>
  <c r="H113" i="10"/>
  <c r="G113" i="10"/>
  <c r="H112" i="10"/>
  <c r="G112" i="10"/>
  <c r="H111" i="10"/>
  <c r="G111" i="10"/>
  <c r="H110" i="10"/>
  <c r="G110" i="10"/>
  <c r="I110" i="10" s="1"/>
  <c r="H109" i="10"/>
  <c r="G109" i="10"/>
  <c r="H108" i="10"/>
  <c r="G108" i="10"/>
  <c r="H107" i="10"/>
  <c r="G107" i="10"/>
  <c r="H101" i="10"/>
  <c r="G101" i="10"/>
  <c r="H100" i="10"/>
  <c r="G100" i="10"/>
  <c r="H99" i="10"/>
  <c r="G99" i="10"/>
  <c r="H98" i="10"/>
  <c r="G98" i="10"/>
  <c r="H97" i="10"/>
  <c r="G97" i="10"/>
  <c r="I97" i="10" s="1"/>
  <c r="H96" i="10"/>
  <c r="G96" i="10"/>
  <c r="H95" i="10"/>
  <c r="G95" i="10"/>
  <c r="H94" i="10"/>
  <c r="G94" i="10"/>
  <c r="H93" i="10"/>
  <c r="G93" i="10"/>
  <c r="H92" i="10"/>
  <c r="G92" i="10"/>
  <c r="H91" i="10"/>
  <c r="G91" i="10"/>
  <c r="H90" i="10"/>
  <c r="G90" i="10"/>
  <c r="H89" i="10"/>
  <c r="G89" i="10"/>
  <c r="H88" i="10"/>
  <c r="G88" i="10"/>
  <c r="H87" i="10"/>
  <c r="G87" i="10"/>
  <c r="H86" i="10"/>
  <c r="G86" i="10"/>
  <c r="H85" i="10"/>
  <c r="G85" i="10"/>
  <c r="H84" i="10"/>
  <c r="G84" i="10"/>
  <c r="H83" i="10"/>
  <c r="G83" i="10"/>
  <c r="H82" i="10"/>
  <c r="G82" i="10"/>
  <c r="H81" i="10"/>
  <c r="G81" i="10"/>
  <c r="H80" i="10"/>
  <c r="G80" i="10"/>
  <c r="H79" i="10"/>
  <c r="G79" i="10"/>
  <c r="H78" i="10"/>
  <c r="G78" i="10"/>
  <c r="H77" i="10"/>
  <c r="G77" i="10"/>
  <c r="H76" i="10"/>
  <c r="G76" i="10"/>
  <c r="H75" i="10"/>
  <c r="G75" i="10"/>
  <c r="H74" i="10"/>
  <c r="G74" i="10"/>
  <c r="H73" i="10"/>
  <c r="G73" i="10"/>
  <c r="H72" i="10"/>
  <c r="G72" i="10"/>
  <c r="H71" i="10"/>
  <c r="G71" i="10"/>
  <c r="H70" i="10"/>
  <c r="G70" i="10"/>
  <c r="H69" i="10"/>
  <c r="G69" i="10"/>
  <c r="H68" i="10"/>
  <c r="G68" i="10"/>
  <c r="H67" i="10"/>
  <c r="G67" i="10"/>
  <c r="I50" i="10"/>
  <c r="H61" i="10"/>
  <c r="G61" i="10"/>
  <c r="H60" i="10"/>
  <c r="G60" i="10"/>
  <c r="H59" i="10"/>
  <c r="G59" i="10"/>
  <c r="H58" i="10"/>
  <c r="G58" i="10"/>
  <c r="H57" i="10"/>
  <c r="G57" i="10"/>
  <c r="H56" i="10"/>
  <c r="G56" i="10"/>
  <c r="H55" i="10"/>
  <c r="G55" i="10"/>
  <c r="H54" i="10"/>
  <c r="G54" i="10"/>
  <c r="H53" i="10"/>
  <c r="G53" i="10"/>
  <c r="H52" i="10"/>
  <c r="G52" i="10"/>
  <c r="H51" i="10"/>
  <c r="G51" i="10"/>
  <c r="H44" i="10"/>
  <c r="H43" i="10"/>
  <c r="G44" i="10"/>
  <c r="G43" i="10"/>
  <c r="H42" i="10"/>
  <c r="G42" i="10"/>
  <c r="G41" i="10"/>
  <c r="G40" i="10"/>
  <c r="G39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8" i="10"/>
  <c r="G8" i="10"/>
  <c r="H7" i="10"/>
  <c r="G7" i="10"/>
  <c r="H6" i="10"/>
  <c r="G6" i="10"/>
  <c r="I152" i="10" l="1"/>
  <c r="I125" i="10"/>
  <c r="I129" i="10"/>
  <c r="H156" i="10"/>
  <c r="G156" i="10"/>
  <c r="I156" i="10" s="1"/>
  <c r="I71" i="10"/>
  <c r="I75" i="10"/>
  <c r="I79" i="10"/>
  <c r="I151" i="10"/>
  <c r="H62" i="10"/>
  <c r="I68" i="10"/>
  <c r="I84" i="10"/>
  <c r="I96" i="10"/>
  <c r="I100" i="10"/>
  <c r="I111" i="10"/>
  <c r="I113" i="10"/>
  <c r="I154" i="10"/>
  <c r="I133" i="10"/>
  <c r="I135" i="10"/>
  <c r="I137" i="10"/>
  <c r="I143" i="10"/>
  <c r="I150" i="10"/>
  <c r="I155" i="10"/>
  <c r="G145" i="10"/>
  <c r="I118" i="10"/>
  <c r="I126" i="10"/>
  <c r="I134" i="10"/>
  <c r="I142" i="10"/>
  <c r="I87" i="10"/>
  <c r="I91" i="10"/>
  <c r="I95" i="10"/>
  <c r="I108" i="10"/>
  <c r="I141" i="10"/>
  <c r="I80" i="10"/>
  <c r="I116" i="10"/>
  <c r="I124" i="10"/>
  <c r="I81" i="10"/>
  <c r="I109" i="10"/>
  <c r="I117" i="10"/>
  <c r="I119" i="10"/>
  <c r="I121" i="10"/>
  <c r="I127" i="10"/>
  <c r="I132" i="10"/>
  <c r="I140" i="10"/>
  <c r="H145" i="10"/>
  <c r="I52" i="10"/>
  <c r="I54" i="10"/>
  <c r="I56" i="10"/>
  <c r="I58" i="10"/>
  <c r="I60" i="10"/>
  <c r="I72" i="10"/>
  <c r="I74" i="10"/>
  <c r="I76" i="10"/>
  <c r="I107" i="10"/>
  <c r="I112" i="10"/>
  <c r="I114" i="10"/>
  <c r="I123" i="10"/>
  <c r="I128" i="10"/>
  <c r="I130" i="10"/>
  <c r="I139" i="10"/>
  <c r="I144" i="10"/>
  <c r="G102" i="10"/>
  <c r="H102" i="10"/>
  <c r="I25" i="10"/>
  <c r="I29" i="10"/>
  <c r="I51" i="10"/>
  <c r="I88" i="10"/>
  <c r="I90" i="10"/>
  <c r="I92" i="10"/>
  <c r="I115" i="10"/>
  <c r="I120" i="10"/>
  <c r="I122" i="10"/>
  <c r="I131" i="10"/>
  <c r="I136" i="10"/>
  <c r="I138" i="10"/>
  <c r="G62" i="10"/>
  <c r="I67" i="10"/>
  <c r="I69" i="10"/>
  <c r="I78" i="10"/>
  <c r="I83" i="10"/>
  <c r="I85" i="10"/>
  <c r="I94" i="10"/>
  <c r="I99" i="10"/>
  <c r="I101" i="10"/>
  <c r="I53" i="10"/>
  <c r="I55" i="10"/>
  <c r="I57" i="10"/>
  <c r="I59" i="10"/>
  <c r="I61" i="10"/>
  <c r="I73" i="10"/>
  <c r="I82" i="10"/>
  <c r="I89" i="10"/>
  <c r="I98" i="10"/>
  <c r="I70" i="10"/>
  <c r="I77" i="10"/>
  <c r="I86" i="10"/>
  <c r="I93" i="10"/>
  <c r="H45" i="10"/>
  <c r="G45" i="10"/>
  <c r="I40" i="10"/>
  <c r="I44" i="10"/>
  <c r="H20" i="10"/>
  <c r="I41" i="10"/>
  <c r="I39" i="10"/>
  <c r="I28" i="10"/>
  <c r="I43" i="10"/>
  <c r="I42" i="10"/>
  <c r="I30" i="10"/>
  <c r="I32" i="10"/>
  <c r="H34" i="10"/>
  <c r="I27" i="10"/>
  <c r="I26" i="10"/>
  <c r="I31" i="10"/>
  <c r="I33" i="10"/>
  <c r="I145" i="10" l="1"/>
  <c r="I102" i="10"/>
  <c r="I45" i="10"/>
  <c r="I62" i="10"/>
  <c r="I63" i="10" s="1"/>
  <c r="I64" i="10" s="1"/>
  <c r="I65" i="10" s="1"/>
  <c r="I157" i="10"/>
  <c r="I158" i="10" s="1"/>
  <c r="I146" i="10"/>
  <c r="I147" i="10" s="1"/>
  <c r="I103" i="10"/>
  <c r="I104" i="10" s="1"/>
  <c r="I46" i="10"/>
  <c r="I47" i="10" s="1"/>
  <c r="I48" i="10" s="1"/>
  <c r="I159" i="10" l="1"/>
  <c r="I105" i="10"/>
  <c r="I148" i="10"/>
  <c r="G34" i="10" l="1"/>
  <c r="I34" i="10" l="1"/>
  <c r="I35" i="10" l="1"/>
  <c r="I36" i="10" s="1"/>
  <c r="I37" i="10" l="1"/>
  <c r="I15" i="10" l="1"/>
  <c r="I7" i="10"/>
  <c r="I19" i="10"/>
  <c r="I17" i="10"/>
  <c r="I18" i="10"/>
  <c r="I16" i="10"/>
  <c r="I14" i="10"/>
  <c r="I8" i="10"/>
  <c r="I6" i="10"/>
  <c r="G9" i="10"/>
  <c r="I9" i="10" s="1"/>
  <c r="G13" i="10"/>
  <c r="I13" i="10" s="1"/>
  <c r="G12" i="10"/>
  <c r="I12" i="10" s="1"/>
  <c r="G10" i="10"/>
  <c r="I10" i="10" s="1"/>
  <c r="G11" i="10"/>
  <c r="G20" i="10" s="1"/>
  <c r="I20" i="10" s="1"/>
  <c r="I11" i="10" l="1"/>
  <c r="I21" i="10"/>
  <c r="I22" i="10" s="1"/>
  <c r="I160" i="10" l="1"/>
  <c r="I23" i="10"/>
  <c r="I161" i="10" s="1"/>
</calcChain>
</file>

<file path=xl/sharedStrings.xml><?xml version="1.0" encoding="utf-8"?>
<sst xmlns="http://schemas.openxmlformats.org/spreadsheetml/2006/main" count="284" uniqueCount="115">
  <si>
    <t>№ пп</t>
  </si>
  <si>
    <t>Наименование</t>
  </si>
  <si>
    <t>Единица измерения</t>
  </si>
  <si>
    <t>Количество</t>
  </si>
  <si>
    <t>Стоимость ед. материалов</t>
  </si>
  <si>
    <t xml:space="preserve">Стоимость ед. работ </t>
  </si>
  <si>
    <t xml:space="preserve">Итого материалы </t>
  </si>
  <si>
    <t xml:space="preserve">Итого работы </t>
  </si>
  <si>
    <t>Грубая очистка основания от остатков бетона</t>
  </si>
  <si>
    <t>м2</t>
  </si>
  <si>
    <t>Очистка поверхности
( пылесосом промышленным)</t>
  </si>
  <si>
    <t>Фильтр сменный (1шт  / 400м2)</t>
  </si>
  <si>
    <t>шт</t>
  </si>
  <si>
    <t>Пылесос промышленный</t>
  </si>
  <si>
    <t xml:space="preserve">Роторная шлифовальная машина </t>
  </si>
  <si>
    <t xml:space="preserve">Покрытие поверхностей грунтовкой глубокого проникновения: за 2 раза </t>
  </si>
  <si>
    <t>Нанесение адгезионного слоя</t>
  </si>
  <si>
    <t>Смола Фидел 513 (1,2 кг / м2)</t>
  </si>
  <si>
    <t>кг</t>
  </si>
  <si>
    <t xml:space="preserve">Армирование тела стяжки </t>
  </si>
  <si>
    <t>Сетка армирующая ВР100*100*4</t>
  </si>
  <si>
    <t xml:space="preserve">Стульчики для сетки </t>
  </si>
  <si>
    <t xml:space="preserve">Дюбеля </t>
  </si>
  <si>
    <t>Монтаж демпферной ленты</t>
  </si>
  <si>
    <t>Лента уплотнительная</t>
  </si>
  <si>
    <t>м.п.</t>
  </si>
  <si>
    <t xml:space="preserve">Расходный инструмент </t>
  </si>
  <si>
    <t>Укладка и разравнивание слоя раствора</t>
  </si>
  <si>
    <t>ЦПС (190кг/ м2)</t>
  </si>
  <si>
    <t>Станция замешивания и перекачки смеси</t>
  </si>
  <si>
    <t>Покрытие поверхностей грунтовкой глубокого проникновения: за 1 раз</t>
  </si>
  <si>
    <t>Грунтовка Фидел 513 (0,3 кг / м2)</t>
  </si>
  <si>
    <t>Смола Фидел 513 (1,0 кг / м2)</t>
  </si>
  <si>
    <t>Устройство подложки из кварцевого песка</t>
  </si>
  <si>
    <t>Песок кварцевый (5 кг / м2)</t>
  </si>
  <si>
    <t>Укладка и разравнивание смеси ТМ "ОМНИТОН"</t>
  </si>
  <si>
    <t>Смесь ТМ "ОМНИТОН"</t>
  </si>
  <si>
    <t>Фильтр сменный (1шт  / 400м2</t>
  </si>
  <si>
    <t xml:space="preserve">Обработка примыканий ручным инструментом </t>
  </si>
  <si>
    <t>Шлифовка бетонных или металлоцементных покрытий сегмент №20
 (8 проходов)</t>
  </si>
  <si>
    <t>Чаша алмазная № 20 (1шт/150м2)</t>
  </si>
  <si>
    <t>Шлифовка бетонных или металлоцементных покрытий сегмент №50
 (8 проходов)</t>
  </si>
  <si>
    <t>Чаша алмазная № 50 (1шт/150м2)</t>
  </si>
  <si>
    <t>Чаша алмазная № 120 (1шт/150м2)</t>
  </si>
  <si>
    <t xml:space="preserve">Шлифовальная машина для примыканий </t>
  </si>
  <si>
    <t>Ручной электроинструмент</t>
  </si>
  <si>
    <t xml:space="preserve">Нанесение запечатывающего состава </t>
  </si>
  <si>
    <t>Запечатывающий состав (0,2 кг / м2 )</t>
  </si>
  <si>
    <t xml:space="preserve">Поломоечная машина </t>
  </si>
  <si>
    <t>Шлифовка бетонных или металлоцементных покрытий шлифовальным падом №50 (8 проходов)</t>
  </si>
  <si>
    <t>Сегменты полировальные (12шт / 600м2 )</t>
  </si>
  <si>
    <t>Фильтр сменный (1шт  / 1000м2</t>
  </si>
  <si>
    <t>Шлифовка бетонных или металлоцементных покрытий шлифовальным падом №100 (8 проходов)</t>
  </si>
  <si>
    <t>Сегменты полировальные (12шт / 1000м2 )</t>
  </si>
  <si>
    <t>Шлифовка бетонных или металлоцементных покрытий шлифовальным падом №200 (8 проходов)</t>
  </si>
  <si>
    <t>Сегменты полировальные (12шт / 1500м2 )</t>
  </si>
  <si>
    <t>Шлифовка бетонных или металлоцементных покрытий шлифовальным падом №400 (8 проходов)</t>
  </si>
  <si>
    <t>Сегменты полировальные (12шт / 2000м2 )</t>
  </si>
  <si>
    <t xml:space="preserve">Планетарная шлифовальная машина </t>
  </si>
  <si>
    <t>Пад полировальный №50 (1шт/500м2)</t>
  </si>
  <si>
    <t>Шлифовка бетонных или металлоцементных покрытий сегмент №100
 (8 проходов)</t>
  </si>
  <si>
    <t>Пад полировальный №100 (1шт/500м2)</t>
  </si>
  <si>
    <t>Шлифовка бетонных или металлоцементных покрытий сегмент №200
 (8 проходов)</t>
  </si>
  <si>
    <t>Пад полировальный №200 (1шт/500м2)</t>
  </si>
  <si>
    <t>Пад полировальный №400 (1шт/500м2)</t>
  </si>
  <si>
    <t>Фильтр сменный (1шт  / 2000м2)</t>
  </si>
  <si>
    <t>Покрытие поверхностей грунтовкой глубокого проникновения: за 2 раза</t>
  </si>
  <si>
    <t>Грунтовка Neotex (0,25/м2)</t>
  </si>
  <si>
    <t>Нанесение финишного защитного состава на основе полиуретана (2 слоя)</t>
  </si>
  <si>
    <t>Лак Neotex (0.5 кг / м2)</t>
  </si>
  <si>
    <t>Изготовление смеси ТМ "ОМНИТОН"</t>
  </si>
  <si>
    <t>м3</t>
  </si>
  <si>
    <t>Мобилизация</t>
  </si>
  <si>
    <t>Такелажные работы</t>
  </si>
  <si>
    <t>Раздел 1. Устройство стяжки</t>
  </si>
  <si>
    <t>Раздел 2. Подготовка основания.</t>
  </si>
  <si>
    <t>Раздел 4. Устройство полов из смеси ТМ "ОМНИТОН"</t>
  </si>
  <si>
    <t>Раздел 5. Грубая шлифовка</t>
  </si>
  <si>
    <t>Раздел 6. Порозаполнение + Финишная шлифовка</t>
  </si>
  <si>
    <t>Раздел 7. Нанесение защитного состава</t>
  </si>
  <si>
    <t>Доставка</t>
  </si>
  <si>
    <t>Итого по разделу 1</t>
  </si>
  <si>
    <t>Стоимость на М2</t>
  </si>
  <si>
    <t>НР и ТР 7%</t>
  </si>
  <si>
    <t>Всего</t>
  </si>
  <si>
    <t>Шлифовка бетонных или металлоцементных покрытий сегмент №6 (2 прохода)</t>
  </si>
  <si>
    <t>Сегменты алмазные шлифовальные (12шт / 600м2)</t>
  </si>
  <si>
    <t>Раздел 3. Производство на объекте смеси ТМ "ОМНИТОН"</t>
  </si>
  <si>
    <t>Всего по разделу 1 в т.ч. С НДС 22%</t>
  </si>
  <si>
    <t>Всего по разделу 2 в т.ч. С НДС 22%</t>
  </si>
  <si>
    <t>Всего по разделу 3 в т.ч. С НДС 22%</t>
  </si>
  <si>
    <t>НР 7%</t>
  </si>
  <si>
    <t>Всего по разделу 4 в т.ч. С НДС 22%</t>
  </si>
  <si>
    <t>Всего по разделу 5 в т.ч. С НДС 22%</t>
  </si>
  <si>
    <t>Всего по разделу 6 в т.ч. С НДС 22%</t>
  </si>
  <si>
    <t>Всего по разделу 7 в т.ч. С НДС 22%</t>
  </si>
  <si>
    <t>Шлифовка бетонных или металлоцементных покрытий сегмент №6 (8 проходов)</t>
  </si>
  <si>
    <t>Шлифовка бетонных или металлоцементных покрытий сегмент №16 (8 проходов)</t>
  </si>
  <si>
    <t>Сегменты алмазные шлифовальные (12шт/1000м2)</t>
  </si>
  <si>
    <t>Сегменты алмазные шлифовальные (12шт/600м2)</t>
  </si>
  <si>
    <t>Фильтр сменный (1шт/400м2)</t>
  </si>
  <si>
    <t>Шлифовка бетонных или металлоцементных покрытий сегмент №30 (8 проходов)</t>
  </si>
  <si>
    <t>Сегменты алмазные шлифовальные (12шт/1500м2)</t>
  </si>
  <si>
    <t>Очистка поверхности 
(пылесосом промышленным)</t>
  </si>
  <si>
    <t>Очистка поверхности
(пылесосом промышленным)</t>
  </si>
  <si>
    <t>Шлифовка бетонных или металлоцементных покрытий сегмент №60 (8 проходов)</t>
  </si>
  <si>
    <t>Сегменты алмазные шлифовальные (12шт/2000м2)</t>
  </si>
  <si>
    <t>Фильтр сменный (1шт/600м2)</t>
  </si>
  <si>
    <t>Шлифовка бетонных или металлоцементных покрытий сегмент №120 (8 проходов)</t>
  </si>
  <si>
    <t>Сегменты алмазные шлифовальные (12шт/2500м2)</t>
  </si>
  <si>
    <t>Шлифовка бетонных или металлоцементных покрытий сегмент №50 (8 проходов)</t>
  </si>
  <si>
    <t>Итого по всем разделам в т.ч. С НДС 22%</t>
  </si>
  <si>
    <t xml:space="preserve">Проволока вязальная </t>
  </si>
  <si>
    <t>Рельс-форма Треформ(3м)</t>
  </si>
  <si>
    <t>Монтаж рельс-форм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</si>
</sst>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wrapText="1"/>
    </xf>
    <xf numFmtId="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wrapText="1"/>
    </xf>
    <xf numFmtId="2" fontId="2" fillId="0" borderId="1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left" vertical="center"/>
    </xf>
    <xf numFmtId="0" fontId="0" fillId="2" borderId="1" xfId="0" applyFill="1" applyBorder="1"/>
    <xf numFmtId="2" fontId="2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 wrapText="1"/>
    </xf>
    <xf numFmtId="164" fontId="0" fillId="2" borderId="1" xfId="0" applyNumberFormat="1" applyFill="1" applyBorder="1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2" fontId="1" fillId="0" borderId="1" xfId="0" applyNumberFormat="1" applyFont="1" applyBorder="1" applyAlignment="1">
      <alignment vertical="top" wrapText="1"/>
    </xf>
    <xf numFmtId="0" fontId="0" fillId="3" borderId="1" xfId="0" applyFill="1" applyBorder="1"/>
    <xf numFmtId="2" fontId="2" fillId="3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horizontal="right" vertical="top"/>
    </xf>
    <xf numFmtId="164" fontId="1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center" vertical="top" wrapText="1"/>
    </xf>
    <xf numFmtId="4" fontId="0" fillId="3" borderId="1" xfId="0" applyNumberForma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5EAA-18C5-4924-B06C-8941D5EDAF85}">
  <dimension ref="A1:I161"/>
  <sheetViews>
    <sheetView tabSelected="1" view="pageBreakPreview" zoomScaleNormal="100" zoomScaleSheetLayoutView="100" workbookViewId="0">
      <selection activeCell="H34" sqref="H34"/>
    </sheetView>
  </sheetViews>
  <sheetFormatPr baseColWidth="10" defaultColWidth="8.83203125" defaultRowHeight="15" x14ac:dyDescent="0.2"/>
  <cols>
    <col min="1" max="1" width="4.5" customWidth="1"/>
    <col min="2" max="2" width="41" style="22" customWidth="1"/>
    <col min="3" max="3" width="9.5" customWidth="1"/>
    <col min="4" max="4" width="10.33203125" customWidth="1"/>
    <col min="5" max="5" width="12.6640625" customWidth="1"/>
    <col min="6" max="6" width="12.6640625" bestFit="1" customWidth="1"/>
    <col min="7" max="8" width="12.6640625" customWidth="1"/>
    <col min="9" max="9" width="15.1640625" bestFit="1" customWidth="1"/>
  </cols>
  <sheetData>
    <row r="1" spans="1:9" x14ac:dyDescent="0.2">
      <c r="A1" s="30">
        <v>1</v>
      </c>
      <c r="B1" s="31">
        <v>2</v>
      </c>
      <c r="C1" s="26">
        <v>4</v>
      </c>
      <c r="D1" s="26">
        <v>5</v>
      </c>
      <c r="E1" s="30">
        <v>6</v>
      </c>
      <c r="F1" s="26">
        <v>7</v>
      </c>
      <c r="G1" s="26">
        <v>8</v>
      </c>
      <c r="H1" s="30">
        <v>9</v>
      </c>
      <c r="I1" s="26">
        <v>10</v>
      </c>
    </row>
    <row r="2" spans="1:9" x14ac:dyDescent="0.2">
      <c r="A2" s="35" t="s">
        <v>0</v>
      </c>
      <c r="B2" s="35" t="s">
        <v>1</v>
      </c>
      <c r="C2" s="37" t="s">
        <v>2</v>
      </c>
      <c r="D2" s="38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84</v>
      </c>
    </row>
    <row r="3" spans="1:9" x14ac:dyDescent="0.2">
      <c r="A3" s="36"/>
      <c r="B3" s="35"/>
      <c r="C3" s="37"/>
      <c r="D3" s="39"/>
      <c r="E3" s="34"/>
      <c r="F3" s="34"/>
      <c r="G3" s="34"/>
      <c r="H3" s="34"/>
      <c r="I3" s="34"/>
    </row>
    <row r="4" spans="1:9" x14ac:dyDescent="0.2">
      <c r="A4" s="36"/>
      <c r="B4" s="35"/>
      <c r="C4" s="37"/>
      <c r="D4" s="39"/>
      <c r="E4" s="34"/>
      <c r="F4" s="34"/>
      <c r="G4" s="34"/>
      <c r="H4" s="34"/>
      <c r="I4" s="34"/>
    </row>
    <row r="5" spans="1:9" x14ac:dyDescent="0.2">
      <c r="A5" s="32" t="s">
        <v>74</v>
      </c>
      <c r="B5" s="32"/>
      <c r="C5" s="32"/>
      <c r="D5" s="32"/>
      <c r="E5" s="32"/>
      <c r="F5" s="32"/>
      <c r="G5" s="32"/>
      <c r="H5" s="32"/>
      <c r="I5" s="32"/>
    </row>
    <row r="6" spans="1:9" ht="28" x14ac:dyDescent="0.2">
      <c r="A6" s="3"/>
      <c r="B6" s="4" t="s">
        <v>15</v>
      </c>
      <c r="C6" s="1" t="s">
        <v>9</v>
      </c>
      <c r="D6" s="10">
        <v>2204.6999999999998</v>
      </c>
      <c r="E6" s="16">
        <v>0</v>
      </c>
      <c r="F6" s="16">
        <v>30.5</v>
      </c>
      <c r="G6" s="16">
        <f>D6*E6</f>
        <v>0</v>
      </c>
      <c r="H6" s="16">
        <f>D6*F6</f>
        <v>67243.349999999991</v>
      </c>
      <c r="I6" s="16">
        <f>G6+H6</f>
        <v>67243.349999999991</v>
      </c>
    </row>
    <row r="7" spans="1:9" x14ac:dyDescent="0.2">
      <c r="A7" s="3"/>
      <c r="B7" s="6" t="s">
        <v>16</v>
      </c>
      <c r="C7" s="1" t="s">
        <v>9</v>
      </c>
      <c r="D7" s="10">
        <v>2204.6999999999998</v>
      </c>
      <c r="E7" s="16">
        <v>0</v>
      </c>
      <c r="F7" s="16">
        <v>61</v>
      </c>
      <c r="G7" s="16">
        <f t="shared" ref="G7:G19" si="0">D7*E7</f>
        <v>0</v>
      </c>
      <c r="H7" s="16">
        <f t="shared" ref="H7:H19" si="1">D7*F7</f>
        <v>134486.69999999998</v>
      </c>
      <c r="I7" s="16">
        <f t="shared" ref="I7:I19" si="2">G7+H7</f>
        <v>134486.69999999998</v>
      </c>
    </row>
    <row r="8" spans="1:9" x14ac:dyDescent="0.2">
      <c r="A8" s="3"/>
      <c r="B8" s="5" t="s">
        <v>17</v>
      </c>
      <c r="C8" s="1" t="s">
        <v>18</v>
      </c>
      <c r="D8" s="7">
        <v>2645.64</v>
      </c>
      <c r="E8" s="16">
        <v>600</v>
      </c>
      <c r="F8" s="16">
        <v>0</v>
      </c>
      <c r="G8" s="16">
        <f t="shared" si="0"/>
        <v>1587384</v>
      </c>
      <c r="H8" s="16">
        <f t="shared" si="1"/>
        <v>0</v>
      </c>
      <c r="I8" s="16">
        <f t="shared" si="2"/>
        <v>1587384</v>
      </c>
    </row>
    <row r="9" spans="1:9" x14ac:dyDescent="0.2">
      <c r="A9" s="3"/>
      <c r="B9" s="4" t="s">
        <v>19</v>
      </c>
      <c r="C9" s="1" t="s">
        <v>9</v>
      </c>
      <c r="D9" s="10">
        <v>2204.6999999999998</v>
      </c>
      <c r="E9" s="7">
        <v>0</v>
      </c>
      <c r="F9" s="7">
        <v>110.00000000000001</v>
      </c>
      <c r="G9" s="16">
        <f t="shared" si="0"/>
        <v>0</v>
      </c>
      <c r="H9" s="16">
        <f t="shared" si="1"/>
        <v>242517</v>
      </c>
      <c r="I9" s="16">
        <f t="shared" si="2"/>
        <v>242517</v>
      </c>
    </row>
    <row r="10" spans="1:9" x14ac:dyDescent="0.2">
      <c r="A10" s="3"/>
      <c r="B10" s="5" t="s">
        <v>20</v>
      </c>
      <c r="C10" s="1" t="s">
        <v>9</v>
      </c>
      <c r="D10" s="10">
        <v>2204.6999999999998</v>
      </c>
      <c r="E10" s="7">
        <v>385.00000000000006</v>
      </c>
      <c r="F10" s="7">
        <v>0</v>
      </c>
      <c r="G10" s="16">
        <f t="shared" si="0"/>
        <v>848809.5</v>
      </c>
      <c r="H10" s="16">
        <f>D10*F10</f>
        <v>0</v>
      </c>
      <c r="I10" s="16">
        <f t="shared" si="2"/>
        <v>848809.5</v>
      </c>
    </row>
    <row r="11" spans="1:9" x14ac:dyDescent="0.2">
      <c r="A11" s="3"/>
      <c r="B11" s="5" t="s">
        <v>21</v>
      </c>
      <c r="C11" s="1" t="s">
        <v>12</v>
      </c>
      <c r="D11" s="10">
        <v>22047</v>
      </c>
      <c r="E11" s="7">
        <v>5.5</v>
      </c>
      <c r="F11" s="7">
        <v>0</v>
      </c>
      <c r="G11" s="16">
        <f t="shared" si="0"/>
        <v>121258.5</v>
      </c>
      <c r="H11" s="16">
        <f t="shared" si="1"/>
        <v>0</v>
      </c>
      <c r="I11" s="16">
        <f t="shared" si="2"/>
        <v>121258.5</v>
      </c>
    </row>
    <row r="12" spans="1:9" x14ac:dyDescent="0.2">
      <c r="A12" s="3"/>
      <c r="B12" s="5" t="s">
        <v>112</v>
      </c>
      <c r="C12" s="1" t="s">
        <v>18</v>
      </c>
      <c r="D12" s="10">
        <v>65.479590000000002</v>
      </c>
      <c r="E12" s="7">
        <v>324.5</v>
      </c>
      <c r="F12" s="7">
        <v>0</v>
      </c>
      <c r="G12" s="16">
        <f t="shared" si="0"/>
        <v>21248.126955</v>
      </c>
      <c r="H12" s="16">
        <f t="shared" si="1"/>
        <v>0</v>
      </c>
      <c r="I12" s="16">
        <f t="shared" si="2"/>
        <v>21248.126955</v>
      </c>
    </row>
    <row r="13" spans="1:9" x14ac:dyDescent="0.2">
      <c r="A13" s="3"/>
      <c r="B13" s="5" t="s">
        <v>22</v>
      </c>
      <c r="C13" s="1" t="s">
        <v>12</v>
      </c>
      <c r="D13" s="10">
        <v>22047</v>
      </c>
      <c r="E13" s="7">
        <v>12.75</v>
      </c>
      <c r="F13" s="7">
        <v>0</v>
      </c>
      <c r="G13" s="16">
        <f t="shared" si="0"/>
        <v>281099.25</v>
      </c>
      <c r="H13" s="16">
        <f t="shared" si="1"/>
        <v>0</v>
      </c>
      <c r="I13" s="16">
        <f t="shared" si="2"/>
        <v>281099.25</v>
      </c>
    </row>
    <row r="14" spans="1:9" x14ac:dyDescent="0.2">
      <c r="A14" s="3"/>
      <c r="B14" s="6" t="s">
        <v>23</v>
      </c>
      <c r="C14" s="1" t="s">
        <v>25</v>
      </c>
      <c r="D14" s="10">
        <v>1135.7</v>
      </c>
      <c r="E14" s="16">
        <v>0</v>
      </c>
      <c r="F14" s="16">
        <v>61</v>
      </c>
      <c r="G14" s="16">
        <f t="shared" si="0"/>
        <v>0</v>
      </c>
      <c r="H14" s="16">
        <f t="shared" si="1"/>
        <v>69277.7</v>
      </c>
      <c r="I14" s="16">
        <f t="shared" si="2"/>
        <v>69277.7</v>
      </c>
    </row>
    <row r="15" spans="1:9" x14ac:dyDescent="0.2">
      <c r="A15" s="3"/>
      <c r="B15" s="5" t="s">
        <v>24</v>
      </c>
      <c r="C15" s="1" t="s">
        <v>25</v>
      </c>
      <c r="D15" s="10">
        <v>1135.7</v>
      </c>
      <c r="E15" s="16">
        <v>22.5</v>
      </c>
      <c r="F15" s="16">
        <v>0</v>
      </c>
      <c r="G15" s="16">
        <f t="shared" si="0"/>
        <v>25553.25</v>
      </c>
      <c r="H15" s="16">
        <f t="shared" si="1"/>
        <v>0</v>
      </c>
      <c r="I15" s="16">
        <f t="shared" si="2"/>
        <v>25553.25</v>
      </c>
    </row>
    <row r="16" spans="1:9" x14ac:dyDescent="0.2">
      <c r="A16" s="3"/>
      <c r="B16" s="5" t="s">
        <v>26</v>
      </c>
      <c r="C16" s="1" t="s">
        <v>12</v>
      </c>
      <c r="D16" s="10">
        <v>3</v>
      </c>
      <c r="E16" s="16">
        <v>150</v>
      </c>
      <c r="F16" s="16">
        <v>0</v>
      </c>
      <c r="G16" s="16">
        <f t="shared" si="0"/>
        <v>450</v>
      </c>
      <c r="H16" s="16">
        <f t="shared" si="1"/>
        <v>0</v>
      </c>
      <c r="I16" s="16">
        <f t="shared" si="2"/>
        <v>450</v>
      </c>
    </row>
    <row r="17" spans="1:9" x14ac:dyDescent="0.2">
      <c r="A17" s="2"/>
      <c r="B17" s="4" t="s">
        <v>27</v>
      </c>
      <c r="C17" s="1" t="s">
        <v>9</v>
      </c>
      <c r="D17" s="10">
        <v>2204.6999999999998</v>
      </c>
      <c r="E17" s="16">
        <v>0</v>
      </c>
      <c r="F17" s="16">
        <v>586.9</v>
      </c>
      <c r="G17" s="16">
        <f t="shared" si="0"/>
        <v>0</v>
      </c>
      <c r="H17" s="16">
        <f t="shared" si="1"/>
        <v>1293938.43</v>
      </c>
      <c r="I17" s="16">
        <f t="shared" si="2"/>
        <v>1293938.43</v>
      </c>
    </row>
    <row r="18" spans="1:9" x14ac:dyDescent="0.2">
      <c r="A18" s="2"/>
      <c r="B18" s="5" t="s">
        <v>28</v>
      </c>
      <c r="C18" s="1" t="s">
        <v>18</v>
      </c>
      <c r="D18" s="10">
        <v>465632.64</v>
      </c>
      <c r="E18" s="16">
        <v>6</v>
      </c>
      <c r="F18" s="16">
        <v>0</v>
      </c>
      <c r="G18" s="16">
        <f t="shared" si="0"/>
        <v>2793795.84</v>
      </c>
      <c r="H18" s="16">
        <f t="shared" si="1"/>
        <v>0</v>
      </c>
      <c r="I18" s="16">
        <f t="shared" si="2"/>
        <v>2793795.84</v>
      </c>
    </row>
    <row r="19" spans="1:9" x14ac:dyDescent="0.2">
      <c r="A19" s="2"/>
      <c r="B19" s="5" t="s">
        <v>29</v>
      </c>
      <c r="C19" s="1" t="s">
        <v>12</v>
      </c>
      <c r="D19" s="10">
        <v>1</v>
      </c>
      <c r="E19" s="16">
        <v>500000</v>
      </c>
      <c r="F19" s="16">
        <v>0</v>
      </c>
      <c r="G19" s="16">
        <f t="shared" si="0"/>
        <v>500000</v>
      </c>
      <c r="H19" s="16">
        <f t="shared" si="1"/>
        <v>0</v>
      </c>
      <c r="I19" s="16">
        <f t="shared" si="2"/>
        <v>500000</v>
      </c>
    </row>
    <row r="20" spans="1:9" x14ac:dyDescent="0.2">
      <c r="A20" s="12"/>
      <c r="B20" s="19" t="s">
        <v>81</v>
      </c>
      <c r="C20" s="14"/>
      <c r="D20" s="15"/>
      <c r="E20" s="17"/>
      <c r="F20" s="17"/>
      <c r="G20" s="17">
        <f>SUM(G6:G19)</f>
        <v>6179598.4669550005</v>
      </c>
      <c r="H20" s="17">
        <f>SUM(H6:H19)</f>
        <v>1807463.18</v>
      </c>
      <c r="I20" s="17">
        <f>G20+H20</f>
        <v>7987061.6469550002</v>
      </c>
    </row>
    <row r="21" spans="1:9" x14ac:dyDescent="0.2">
      <c r="A21" s="12"/>
      <c r="B21" s="19" t="s">
        <v>83</v>
      </c>
      <c r="C21" s="14"/>
      <c r="D21" s="15"/>
      <c r="E21" s="17"/>
      <c r="F21" s="17"/>
      <c r="G21" s="20"/>
      <c r="H21" s="20"/>
      <c r="I21" s="17">
        <f>I20*0.07</f>
        <v>559094.31528685009</v>
      </c>
    </row>
    <row r="22" spans="1:9" x14ac:dyDescent="0.2">
      <c r="A22" s="12"/>
      <c r="B22" s="13" t="s">
        <v>88</v>
      </c>
      <c r="C22" s="14"/>
      <c r="D22" s="15"/>
      <c r="E22" s="17"/>
      <c r="F22" s="17"/>
      <c r="G22" s="18"/>
      <c r="H22" s="18"/>
      <c r="I22" s="18">
        <f>I20+I21</f>
        <v>8546155.9622418508</v>
      </c>
    </row>
    <row r="23" spans="1:9" x14ac:dyDescent="0.2">
      <c r="A23" s="12"/>
      <c r="B23" s="13" t="s">
        <v>82</v>
      </c>
      <c r="C23" s="14"/>
      <c r="D23" s="15"/>
      <c r="E23" s="17"/>
      <c r="F23" s="17"/>
      <c r="G23" s="17"/>
      <c r="H23" s="17"/>
      <c r="I23" s="18">
        <f>I22/D6</f>
        <v>3876.3350851552827</v>
      </c>
    </row>
    <row r="24" spans="1:9" x14ac:dyDescent="0.2">
      <c r="A24" s="32" t="s">
        <v>75</v>
      </c>
      <c r="B24" s="32"/>
      <c r="C24" s="32"/>
      <c r="D24" s="32"/>
      <c r="E24" s="32"/>
      <c r="F24" s="32"/>
      <c r="G24" s="32"/>
      <c r="H24" s="32"/>
      <c r="I24" s="12"/>
    </row>
    <row r="25" spans="1:9" x14ac:dyDescent="0.2">
      <c r="A25" s="3"/>
      <c r="B25" s="6" t="s">
        <v>8</v>
      </c>
      <c r="C25" s="1" t="s">
        <v>9</v>
      </c>
      <c r="D25" s="10">
        <v>2204.6999999999998</v>
      </c>
      <c r="E25" s="16">
        <v>0</v>
      </c>
      <c r="F25" s="16">
        <v>60.390000000000008</v>
      </c>
      <c r="G25" s="16">
        <f t="shared" ref="G25:G33" si="3">D25*E25</f>
        <v>0</v>
      </c>
      <c r="H25" s="16">
        <f t="shared" ref="H25:H33" si="4">D25*F25</f>
        <v>133141.83300000001</v>
      </c>
      <c r="I25" s="16">
        <f t="shared" ref="I25:I33" si="5">G25+H25</f>
        <v>133141.83300000001</v>
      </c>
    </row>
    <row r="26" spans="1:9" ht="28" x14ac:dyDescent="0.2">
      <c r="A26" s="3"/>
      <c r="B26" s="4" t="s">
        <v>10</v>
      </c>
      <c r="C26" s="1" t="s">
        <v>9</v>
      </c>
      <c r="D26" s="10">
        <v>2204.6999999999998</v>
      </c>
      <c r="E26" s="16">
        <v>0</v>
      </c>
      <c r="F26" s="16">
        <v>73.81</v>
      </c>
      <c r="G26" s="16">
        <f t="shared" si="3"/>
        <v>0</v>
      </c>
      <c r="H26" s="16">
        <f t="shared" si="4"/>
        <v>162728.90699999998</v>
      </c>
      <c r="I26" s="16">
        <f t="shared" si="5"/>
        <v>162728.90699999998</v>
      </c>
    </row>
    <row r="27" spans="1:9" x14ac:dyDescent="0.2">
      <c r="A27" s="3"/>
      <c r="B27" s="5" t="s">
        <v>11</v>
      </c>
      <c r="C27" s="1" t="s">
        <v>12</v>
      </c>
      <c r="D27" s="10">
        <v>6</v>
      </c>
      <c r="E27" s="16">
        <v>2310</v>
      </c>
      <c r="F27" s="16">
        <v>0</v>
      </c>
      <c r="G27" s="16">
        <f t="shared" si="3"/>
        <v>13860</v>
      </c>
      <c r="H27" s="16">
        <f t="shared" si="4"/>
        <v>0</v>
      </c>
      <c r="I27" s="16">
        <f t="shared" si="5"/>
        <v>13860</v>
      </c>
    </row>
    <row r="28" spans="1:9" ht="29" x14ac:dyDescent="0.2">
      <c r="A28" s="3"/>
      <c r="B28" s="6" t="s">
        <v>85</v>
      </c>
      <c r="C28" s="1" t="s">
        <v>9</v>
      </c>
      <c r="D28" s="10">
        <v>2204.6999999999998</v>
      </c>
      <c r="E28" s="16">
        <v>0</v>
      </c>
      <c r="F28" s="16">
        <v>100.64999999999999</v>
      </c>
      <c r="G28" s="16">
        <f t="shared" si="3"/>
        <v>0</v>
      </c>
      <c r="H28" s="16">
        <f t="shared" si="4"/>
        <v>221903.05499999996</v>
      </c>
      <c r="I28" s="16">
        <f t="shared" si="5"/>
        <v>221903.05499999996</v>
      </c>
    </row>
    <row r="29" spans="1:9" x14ac:dyDescent="0.2">
      <c r="A29" s="3"/>
      <c r="B29" s="5" t="s">
        <v>86</v>
      </c>
      <c r="C29" s="1" t="s">
        <v>12</v>
      </c>
      <c r="D29" s="10">
        <v>48</v>
      </c>
      <c r="E29" s="16">
        <v>1320</v>
      </c>
      <c r="F29" s="16">
        <v>0</v>
      </c>
      <c r="G29" s="16">
        <f t="shared" si="3"/>
        <v>63360</v>
      </c>
      <c r="H29" s="16">
        <f t="shared" si="4"/>
        <v>0</v>
      </c>
      <c r="I29" s="16">
        <f t="shared" si="5"/>
        <v>63360</v>
      </c>
    </row>
    <row r="30" spans="1:9" ht="28" x14ac:dyDescent="0.2">
      <c r="A30" s="3"/>
      <c r="B30" s="4" t="s">
        <v>10</v>
      </c>
      <c r="C30" s="1" t="s">
        <v>9</v>
      </c>
      <c r="D30" s="10">
        <v>2204.6999999999998</v>
      </c>
      <c r="E30" s="16">
        <v>0</v>
      </c>
      <c r="F30" s="16">
        <v>33.550000000000004</v>
      </c>
      <c r="G30" s="16">
        <f t="shared" si="3"/>
        <v>0</v>
      </c>
      <c r="H30" s="16">
        <f t="shared" si="4"/>
        <v>73967.684999999998</v>
      </c>
      <c r="I30" s="16">
        <f t="shared" si="5"/>
        <v>73967.684999999998</v>
      </c>
    </row>
    <row r="31" spans="1:9" x14ac:dyDescent="0.2">
      <c r="A31" s="3"/>
      <c r="B31" s="5" t="s">
        <v>11</v>
      </c>
      <c r="C31" s="1" t="s">
        <v>12</v>
      </c>
      <c r="D31" s="10">
        <v>6</v>
      </c>
      <c r="E31" s="16">
        <v>2310</v>
      </c>
      <c r="F31" s="16">
        <v>0</v>
      </c>
      <c r="G31" s="16">
        <f t="shared" si="3"/>
        <v>13860</v>
      </c>
      <c r="H31" s="16">
        <f t="shared" si="4"/>
        <v>0</v>
      </c>
      <c r="I31" s="16">
        <f t="shared" si="5"/>
        <v>13860</v>
      </c>
    </row>
    <row r="32" spans="1:9" x14ac:dyDescent="0.2">
      <c r="A32" s="3"/>
      <c r="B32" s="5" t="s">
        <v>13</v>
      </c>
      <c r="C32" s="1" t="s">
        <v>12</v>
      </c>
      <c r="D32" s="10">
        <v>3</v>
      </c>
      <c r="E32" s="16">
        <v>33000</v>
      </c>
      <c r="F32" s="16">
        <v>0</v>
      </c>
      <c r="G32" s="16">
        <f t="shared" si="3"/>
        <v>99000</v>
      </c>
      <c r="H32" s="16">
        <f t="shared" si="4"/>
        <v>0</v>
      </c>
      <c r="I32" s="16">
        <f t="shared" si="5"/>
        <v>99000</v>
      </c>
    </row>
    <row r="33" spans="1:9" x14ac:dyDescent="0.2">
      <c r="A33" s="3"/>
      <c r="B33" s="5" t="s">
        <v>14</v>
      </c>
      <c r="C33" s="1" t="s">
        <v>12</v>
      </c>
      <c r="D33" s="10">
        <v>3</v>
      </c>
      <c r="E33" s="16">
        <v>44000</v>
      </c>
      <c r="F33" s="16">
        <v>0</v>
      </c>
      <c r="G33" s="16">
        <f t="shared" si="3"/>
        <v>132000</v>
      </c>
      <c r="H33" s="16">
        <f t="shared" si="4"/>
        <v>0</v>
      </c>
      <c r="I33" s="16">
        <f t="shared" si="5"/>
        <v>132000</v>
      </c>
    </row>
    <row r="34" spans="1:9" x14ac:dyDescent="0.2">
      <c r="A34" s="12"/>
      <c r="B34" s="19" t="s">
        <v>81</v>
      </c>
      <c r="C34" s="14"/>
      <c r="D34" s="15"/>
      <c r="E34" s="17"/>
      <c r="F34" s="17"/>
      <c r="G34" s="17">
        <f>SUM(G25:G33)</f>
        <v>322080</v>
      </c>
      <c r="H34" s="17">
        <f>SUM(H25:H33)</f>
        <v>591741.48</v>
      </c>
      <c r="I34" s="17">
        <f>G34+H34</f>
        <v>913821.48</v>
      </c>
    </row>
    <row r="35" spans="1:9" x14ac:dyDescent="0.2">
      <c r="A35" s="12"/>
      <c r="B35" s="19" t="s">
        <v>83</v>
      </c>
      <c r="C35" s="14"/>
      <c r="D35" s="15"/>
      <c r="E35" s="17"/>
      <c r="F35" s="17"/>
      <c r="G35" s="20"/>
      <c r="H35" s="20"/>
      <c r="I35" s="17">
        <f>I34*0.07</f>
        <v>63967.503600000004</v>
      </c>
    </row>
    <row r="36" spans="1:9" x14ac:dyDescent="0.2">
      <c r="A36" s="12"/>
      <c r="B36" s="13" t="s">
        <v>89</v>
      </c>
      <c r="C36" s="14"/>
      <c r="D36" s="15"/>
      <c r="E36" s="17"/>
      <c r="F36" s="17"/>
      <c r="G36" s="18"/>
      <c r="H36" s="18"/>
      <c r="I36" s="18">
        <f>I34+I35</f>
        <v>977788.98360000004</v>
      </c>
    </row>
    <row r="37" spans="1:9" x14ac:dyDescent="0.2">
      <c r="A37" s="12"/>
      <c r="B37" s="13" t="s">
        <v>82</v>
      </c>
      <c r="C37" s="14"/>
      <c r="D37" s="15"/>
      <c r="E37" s="17"/>
      <c r="F37" s="17"/>
      <c r="G37" s="17"/>
      <c r="H37" s="17"/>
      <c r="I37" s="18">
        <f>I36/D25</f>
        <v>443.50205633419517</v>
      </c>
    </row>
    <row r="38" spans="1:9" x14ac:dyDescent="0.2">
      <c r="A38" s="40" t="s">
        <v>87</v>
      </c>
      <c r="B38" s="40"/>
      <c r="C38" s="40"/>
      <c r="D38" s="40"/>
      <c r="E38" s="40"/>
      <c r="F38" s="40"/>
      <c r="G38" s="40"/>
      <c r="H38" s="40"/>
      <c r="I38" s="40"/>
    </row>
    <row r="39" spans="1:9" x14ac:dyDescent="0.2">
      <c r="A39" s="11"/>
      <c r="B39" s="6" t="s">
        <v>72</v>
      </c>
      <c r="C39" s="1" t="s">
        <v>12</v>
      </c>
      <c r="D39" s="10">
        <v>1</v>
      </c>
      <c r="E39" s="16"/>
      <c r="F39" s="16">
        <v>50000</v>
      </c>
      <c r="G39" s="16">
        <f t="shared" ref="G39:G44" si="6">D39*E39</f>
        <v>0</v>
      </c>
      <c r="H39" s="16">
        <f t="shared" ref="H39:H44" si="7">D39*F39</f>
        <v>50000</v>
      </c>
      <c r="I39" s="16">
        <f t="shared" ref="I39:I45" si="8">G39+H39</f>
        <v>50000</v>
      </c>
    </row>
    <row r="40" spans="1:9" x14ac:dyDescent="0.2">
      <c r="A40" s="11"/>
      <c r="B40" s="6" t="s">
        <v>80</v>
      </c>
      <c r="C40" s="1" t="s">
        <v>12</v>
      </c>
      <c r="D40" s="10">
        <v>1</v>
      </c>
      <c r="E40" s="16"/>
      <c r="F40" s="16">
        <v>360000</v>
      </c>
      <c r="G40" s="16">
        <f t="shared" si="6"/>
        <v>0</v>
      </c>
      <c r="H40" s="16">
        <f t="shared" si="7"/>
        <v>360000</v>
      </c>
      <c r="I40" s="16">
        <f t="shared" si="8"/>
        <v>360000</v>
      </c>
    </row>
    <row r="41" spans="1:9" x14ac:dyDescent="0.2">
      <c r="A41" s="3"/>
      <c r="B41" s="6" t="s">
        <v>70</v>
      </c>
      <c r="C41" s="1" t="s">
        <v>71</v>
      </c>
      <c r="D41" s="10">
        <v>55.1175</v>
      </c>
      <c r="E41" s="16">
        <v>0</v>
      </c>
      <c r="F41" s="16">
        <v>17530.548373928425</v>
      </c>
      <c r="G41" s="16">
        <f t="shared" si="6"/>
        <v>0</v>
      </c>
      <c r="H41" s="16">
        <f>D41*F41</f>
        <v>966239.99999999988</v>
      </c>
      <c r="I41" s="16">
        <f t="shared" si="8"/>
        <v>966239.99999999988</v>
      </c>
    </row>
    <row r="42" spans="1:9" x14ac:dyDescent="0.2">
      <c r="A42" s="3"/>
      <c r="B42" s="5" t="s">
        <v>36</v>
      </c>
      <c r="C42" s="1" t="s">
        <v>18</v>
      </c>
      <c r="D42" s="10">
        <v>149754.24750000003</v>
      </c>
      <c r="E42" s="16">
        <v>60</v>
      </c>
      <c r="F42" s="16">
        <v>0</v>
      </c>
      <c r="G42" s="16">
        <f t="shared" si="6"/>
        <v>8985254.8500000015</v>
      </c>
      <c r="H42" s="16">
        <f t="shared" si="7"/>
        <v>0</v>
      </c>
      <c r="I42" s="16">
        <f t="shared" si="8"/>
        <v>8985254.8500000015</v>
      </c>
    </row>
    <row r="43" spans="1:9" x14ac:dyDescent="0.2">
      <c r="A43" s="3"/>
      <c r="B43" s="5" t="s">
        <v>29</v>
      </c>
      <c r="C43" s="1" t="s">
        <v>12</v>
      </c>
      <c r="D43" s="10">
        <v>1</v>
      </c>
      <c r="E43" s="16">
        <v>480000</v>
      </c>
      <c r="F43" s="16">
        <v>0</v>
      </c>
      <c r="G43" s="16">
        <f t="shared" si="6"/>
        <v>480000</v>
      </c>
      <c r="H43" s="16">
        <f t="shared" si="7"/>
        <v>0</v>
      </c>
      <c r="I43" s="16">
        <f t="shared" si="8"/>
        <v>480000</v>
      </c>
    </row>
    <row r="44" spans="1:9" x14ac:dyDescent="0.2">
      <c r="A44" s="3"/>
      <c r="B44" s="4" t="s">
        <v>73</v>
      </c>
      <c r="C44" s="1" t="s">
        <v>18</v>
      </c>
      <c r="D44" s="10">
        <v>149754.24750000003</v>
      </c>
      <c r="E44" s="16">
        <v>0</v>
      </c>
      <c r="F44" s="16">
        <v>8.0519999999999996</v>
      </c>
      <c r="G44" s="16">
        <f t="shared" si="6"/>
        <v>0</v>
      </c>
      <c r="H44" s="16">
        <f t="shared" si="7"/>
        <v>1205821.2008700001</v>
      </c>
      <c r="I44" s="16">
        <f t="shared" si="8"/>
        <v>1205821.2008700001</v>
      </c>
    </row>
    <row r="45" spans="1:9" x14ac:dyDescent="0.2">
      <c r="A45" s="12"/>
      <c r="B45" s="19" t="s">
        <v>81</v>
      </c>
      <c r="C45" s="14"/>
      <c r="D45" s="15"/>
      <c r="E45" s="17"/>
      <c r="F45" s="17"/>
      <c r="G45" s="17">
        <f>SUM(G39:G44)</f>
        <v>9465254.8500000015</v>
      </c>
      <c r="H45" s="17">
        <f>SUM(H39:H44)</f>
        <v>2582061.2008699998</v>
      </c>
      <c r="I45" s="17">
        <f t="shared" si="8"/>
        <v>12047316.050870001</v>
      </c>
    </row>
    <row r="46" spans="1:9" x14ac:dyDescent="0.2">
      <c r="A46" s="12"/>
      <c r="B46" s="19" t="s">
        <v>91</v>
      </c>
      <c r="C46" s="14"/>
      <c r="D46" s="15"/>
      <c r="E46" s="17"/>
      <c r="F46" s="17"/>
      <c r="G46" s="20"/>
      <c r="H46" s="20"/>
      <c r="I46" s="17">
        <f>I45*0.07</f>
        <v>843312.12356090022</v>
      </c>
    </row>
    <row r="47" spans="1:9" x14ac:dyDescent="0.2">
      <c r="A47" s="12"/>
      <c r="B47" s="13" t="s">
        <v>90</v>
      </c>
      <c r="C47" s="14"/>
      <c r="D47" s="15"/>
      <c r="E47" s="17"/>
      <c r="F47" s="17"/>
      <c r="G47" s="18"/>
      <c r="H47" s="18"/>
      <c r="I47" s="18">
        <f>I45+I46</f>
        <v>12890628.174430901</v>
      </c>
    </row>
    <row r="48" spans="1:9" x14ac:dyDescent="0.2">
      <c r="A48" s="12"/>
      <c r="B48" s="13" t="s">
        <v>82</v>
      </c>
      <c r="C48" s="14"/>
      <c r="D48" s="15"/>
      <c r="E48" s="17"/>
      <c r="F48" s="17"/>
      <c r="G48" s="17"/>
      <c r="H48" s="17"/>
      <c r="I48" s="18">
        <f>I47/D25</f>
        <v>5846.8853696334663</v>
      </c>
    </row>
    <row r="49" spans="1:9" x14ac:dyDescent="0.2">
      <c r="A49" s="32" t="s">
        <v>76</v>
      </c>
      <c r="B49" s="32"/>
      <c r="C49" s="32"/>
      <c r="D49" s="32"/>
      <c r="E49" s="32"/>
      <c r="F49" s="32"/>
      <c r="G49" s="32"/>
      <c r="H49" s="32"/>
      <c r="I49" s="32"/>
    </row>
    <row r="50" spans="1:9" x14ac:dyDescent="0.2">
      <c r="A50" s="11"/>
      <c r="B50" s="6" t="s">
        <v>72</v>
      </c>
      <c r="C50" s="1" t="s">
        <v>12</v>
      </c>
      <c r="D50" s="10">
        <v>1</v>
      </c>
      <c r="E50" s="16"/>
      <c r="F50" s="16">
        <v>150000</v>
      </c>
      <c r="G50" s="16"/>
      <c r="H50" s="16">
        <v>150000</v>
      </c>
      <c r="I50" s="16">
        <f t="shared" ref="I50:I61" si="9">G50+H50</f>
        <v>150000</v>
      </c>
    </row>
    <row r="51" spans="1:9" ht="28" x14ac:dyDescent="0.2">
      <c r="A51" s="3"/>
      <c r="B51" s="4" t="s">
        <v>30</v>
      </c>
      <c r="C51" s="1" t="s">
        <v>9</v>
      </c>
      <c r="D51" s="10">
        <v>2204.6999999999998</v>
      </c>
      <c r="E51" s="16"/>
      <c r="F51" s="16">
        <v>201.29999999999998</v>
      </c>
      <c r="G51" s="16">
        <f t="shared" ref="G51:G61" si="10">D51*E51</f>
        <v>0</v>
      </c>
      <c r="H51" s="16">
        <f t="shared" ref="H51:H61" si="11">D51*F51</f>
        <v>443806.10999999993</v>
      </c>
      <c r="I51" s="16">
        <f t="shared" si="9"/>
        <v>443806.10999999993</v>
      </c>
    </row>
    <row r="52" spans="1:9" x14ac:dyDescent="0.2">
      <c r="A52" s="3"/>
      <c r="B52" s="5" t="s">
        <v>31</v>
      </c>
      <c r="C52" s="1" t="s">
        <v>18</v>
      </c>
      <c r="D52" s="10">
        <v>661.41</v>
      </c>
      <c r="E52" s="16">
        <v>660</v>
      </c>
      <c r="F52" s="16">
        <v>0</v>
      </c>
      <c r="G52" s="16">
        <f t="shared" si="10"/>
        <v>436530.6</v>
      </c>
      <c r="H52" s="16">
        <f t="shared" si="11"/>
        <v>0</v>
      </c>
      <c r="I52" s="16">
        <f t="shared" si="9"/>
        <v>436530.6</v>
      </c>
    </row>
    <row r="53" spans="1:9" x14ac:dyDescent="0.2">
      <c r="A53" s="3"/>
      <c r="B53" s="6" t="s">
        <v>16</v>
      </c>
      <c r="C53" s="1" t="s">
        <v>9</v>
      </c>
      <c r="D53" s="10">
        <v>2204.6999999999998</v>
      </c>
      <c r="E53" s="16">
        <v>0</v>
      </c>
      <c r="F53" s="16">
        <v>201.29999999999998</v>
      </c>
      <c r="G53" s="16">
        <f t="shared" si="10"/>
        <v>0</v>
      </c>
      <c r="H53" s="16">
        <f t="shared" si="11"/>
        <v>443806.10999999993</v>
      </c>
      <c r="I53" s="16">
        <f t="shared" si="9"/>
        <v>443806.10999999993</v>
      </c>
    </row>
    <row r="54" spans="1:9" x14ac:dyDescent="0.2">
      <c r="A54" s="3"/>
      <c r="B54" s="5" t="s">
        <v>32</v>
      </c>
      <c r="C54" s="1" t="s">
        <v>18</v>
      </c>
      <c r="D54" s="10">
        <v>2204.6999999999998</v>
      </c>
      <c r="E54" s="16">
        <v>660</v>
      </c>
      <c r="F54" s="16">
        <v>0</v>
      </c>
      <c r="G54" s="16">
        <f t="shared" si="10"/>
        <v>1455101.9999999998</v>
      </c>
      <c r="H54" s="16">
        <f t="shared" si="11"/>
        <v>0</v>
      </c>
      <c r="I54" s="16">
        <f t="shared" si="9"/>
        <v>1455101.9999999998</v>
      </c>
    </row>
    <row r="55" spans="1:9" x14ac:dyDescent="0.2">
      <c r="A55" s="3"/>
      <c r="B55" s="6" t="s">
        <v>33</v>
      </c>
      <c r="C55" s="1" t="s">
        <v>9</v>
      </c>
      <c r="D55" s="10">
        <v>2204.6999999999998</v>
      </c>
      <c r="E55" s="16">
        <v>0</v>
      </c>
      <c r="F55" s="16">
        <v>134.20000000000002</v>
      </c>
      <c r="G55" s="16">
        <f t="shared" si="10"/>
        <v>0</v>
      </c>
      <c r="H55" s="16">
        <f t="shared" si="11"/>
        <v>295870.74</v>
      </c>
      <c r="I55" s="16">
        <f t="shared" si="9"/>
        <v>295870.74</v>
      </c>
    </row>
    <row r="56" spans="1:9" x14ac:dyDescent="0.2">
      <c r="A56" s="3"/>
      <c r="B56" s="5" t="s">
        <v>34</v>
      </c>
      <c r="C56" s="1" t="s">
        <v>18</v>
      </c>
      <c r="D56" s="10">
        <v>11023.5</v>
      </c>
      <c r="E56" s="16">
        <v>23.1</v>
      </c>
      <c r="F56" s="16">
        <v>0</v>
      </c>
      <c r="G56" s="16">
        <f t="shared" si="10"/>
        <v>254642.85</v>
      </c>
      <c r="H56" s="16">
        <f t="shared" si="11"/>
        <v>0</v>
      </c>
      <c r="I56" s="16">
        <f t="shared" si="9"/>
        <v>254642.85</v>
      </c>
    </row>
    <row r="57" spans="1:9" x14ac:dyDescent="0.2">
      <c r="A57" s="3"/>
      <c r="B57" s="21" t="s">
        <v>114</v>
      </c>
      <c r="C57" s="1" t="s">
        <v>25</v>
      </c>
      <c r="D57" s="10">
        <v>1840.74</v>
      </c>
      <c r="E57" s="16">
        <v>0</v>
      </c>
      <c r="F57" s="16">
        <v>268.40000000000003</v>
      </c>
      <c r="G57" s="16">
        <f t="shared" si="10"/>
        <v>0</v>
      </c>
      <c r="H57" s="16">
        <f t="shared" si="11"/>
        <v>494054.61600000004</v>
      </c>
      <c r="I57" s="16">
        <f t="shared" si="9"/>
        <v>494054.61600000004</v>
      </c>
    </row>
    <row r="58" spans="1:9" x14ac:dyDescent="0.2">
      <c r="A58" s="3"/>
      <c r="B58" s="5" t="s">
        <v>113</v>
      </c>
      <c r="C58" s="1" t="s">
        <v>25</v>
      </c>
      <c r="D58" s="10">
        <v>1840.74</v>
      </c>
      <c r="E58" s="16">
        <v>458.59000000000003</v>
      </c>
      <c r="F58" s="16">
        <v>0</v>
      </c>
      <c r="G58" s="16">
        <f t="shared" si="10"/>
        <v>844144.95660000003</v>
      </c>
      <c r="H58" s="16">
        <f t="shared" si="11"/>
        <v>0</v>
      </c>
      <c r="I58" s="16">
        <f t="shared" si="9"/>
        <v>844144.95660000003</v>
      </c>
    </row>
    <row r="59" spans="1:9" x14ac:dyDescent="0.2">
      <c r="A59" s="3"/>
      <c r="B59" s="6" t="s">
        <v>23</v>
      </c>
      <c r="C59" s="1" t="s">
        <v>25</v>
      </c>
      <c r="D59" s="10">
        <v>1135.7</v>
      </c>
      <c r="E59" s="16">
        <v>0</v>
      </c>
      <c r="F59" s="16">
        <v>67.100000000000009</v>
      </c>
      <c r="G59" s="16">
        <f t="shared" si="10"/>
        <v>0</v>
      </c>
      <c r="H59" s="16">
        <f t="shared" si="11"/>
        <v>76205.470000000016</v>
      </c>
      <c r="I59" s="16">
        <f t="shared" si="9"/>
        <v>76205.470000000016</v>
      </c>
    </row>
    <row r="60" spans="1:9" x14ac:dyDescent="0.2">
      <c r="A60" s="3"/>
      <c r="B60" s="5" t="s">
        <v>24</v>
      </c>
      <c r="C60" s="1" t="s">
        <v>25</v>
      </c>
      <c r="D60" s="10">
        <v>1135.7</v>
      </c>
      <c r="E60" s="16">
        <v>35.75</v>
      </c>
      <c r="F60" s="16">
        <v>0</v>
      </c>
      <c r="G60" s="16">
        <f t="shared" si="10"/>
        <v>40601.275000000001</v>
      </c>
      <c r="H60" s="16">
        <f t="shared" si="11"/>
        <v>0</v>
      </c>
      <c r="I60" s="16">
        <f t="shared" si="9"/>
        <v>40601.275000000001</v>
      </c>
    </row>
    <row r="61" spans="1:9" x14ac:dyDescent="0.2">
      <c r="A61" s="3"/>
      <c r="B61" s="6" t="s">
        <v>35</v>
      </c>
      <c r="C61" s="1" t="s">
        <v>9</v>
      </c>
      <c r="D61" s="10">
        <v>2204.6999999999998</v>
      </c>
      <c r="E61" s="16">
        <v>0</v>
      </c>
      <c r="F61" s="16">
        <v>1073.6000000000001</v>
      </c>
      <c r="G61" s="16">
        <f t="shared" si="10"/>
        <v>0</v>
      </c>
      <c r="H61" s="16">
        <f t="shared" si="11"/>
        <v>2366965.92</v>
      </c>
      <c r="I61" s="16">
        <f t="shared" si="9"/>
        <v>2366965.92</v>
      </c>
    </row>
    <row r="62" spans="1:9" x14ac:dyDescent="0.2">
      <c r="A62" s="12"/>
      <c r="B62" s="19" t="s">
        <v>81</v>
      </c>
      <c r="C62" s="14"/>
      <c r="D62" s="15"/>
      <c r="E62" s="17"/>
      <c r="F62" s="17"/>
      <c r="G62" s="17">
        <f>SUM(G50:G61)</f>
        <v>3031021.6815999998</v>
      </c>
      <c r="H62" s="17">
        <f>SUM(H50:H61)</f>
        <v>4270708.966</v>
      </c>
      <c r="I62" s="17">
        <f>G62+H62</f>
        <v>7301730.6475999998</v>
      </c>
    </row>
    <row r="63" spans="1:9" x14ac:dyDescent="0.2">
      <c r="A63" s="12"/>
      <c r="B63" s="19" t="s">
        <v>83</v>
      </c>
      <c r="C63" s="14"/>
      <c r="D63" s="15"/>
      <c r="E63" s="17"/>
      <c r="F63" s="17"/>
      <c r="G63" s="20"/>
      <c r="H63" s="20"/>
      <c r="I63" s="17">
        <f>I62*0.07</f>
        <v>511121.14533200004</v>
      </c>
    </row>
    <row r="64" spans="1:9" x14ac:dyDescent="0.2">
      <c r="A64" s="12"/>
      <c r="B64" s="13" t="s">
        <v>92</v>
      </c>
      <c r="C64" s="14"/>
      <c r="D64" s="15"/>
      <c r="E64" s="17"/>
      <c r="F64" s="17"/>
      <c r="G64" s="18"/>
      <c r="H64" s="18"/>
      <c r="I64" s="18">
        <f>I62+I63</f>
        <v>7812851.792932</v>
      </c>
    </row>
    <row r="65" spans="1:9" x14ac:dyDescent="0.2">
      <c r="A65" s="12"/>
      <c r="B65" s="13" t="s">
        <v>82</v>
      </c>
      <c r="C65" s="14"/>
      <c r="D65" s="15"/>
      <c r="E65" s="17"/>
      <c r="F65" s="17"/>
      <c r="G65" s="17"/>
      <c r="H65" s="17"/>
      <c r="I65" s="18">
        <f>I64/D51</f>
        <v>3543.7255830416839</v>
      </c>
    </row>
    <row r="66" spans="1:9" x14ac:dyDescent="0.2">
      <c r="A66" s="32" t="s">
        <v>77</v>
      </c>
      <c r="B66" s="32"/>
      <c r="C66" s="32"/>
      <c r="D66" s="32"/>
      <c r="E66" s="32"/>
      <c r="F66" s="32"/>
      <c r="G66" s="32"/>
      <c r="H66" s="32"/>
      <c r="I66" s="32"/>
    </row>
    <row r="67" spans="1:9" ht="29" x14ac:dyDescent="0.2">
      <c r="A67" s="3"/>
      <c r="B67" s="6" t="s">
        <v>96</v>
      </c>
      <c r="C67" s="1" t="s">
        <v>9</v>
      </c>
      <c r="D67" s="10">
        <v>2204.6999999999998</v>
      </c>
      <c r="E67" s="16">
        <v>0</v>
      </c>
      <c r="F67" s="16">
        <v>335.5</v>
      </c>
      <c r="G67" s="16">
        <f t="shared" ref="G67:G101" si="12">D67*E67</f>
        <v>0</v>
      </c>
      <c r="H67" s="16">
        <f t="shared" ref="H67:H101" si="13">D67*F67</f>
        <v>739676.85</v>
      </c>
      <c r="I67" s="16">
        <f t="shared" ref="I67:I102" si="14">G67+H67</f>
        <v>739676.85</v>
      </c>
    </row>
    <row r="68" spans="1:9" x14ac:dyDescent="0.2">
      <c r="A68" s="3"/>
      <c r="B68" s="5" t="s">
        <v>99</v>
      </c>
      <c r="C68" s="1" t="s">
        <v>12</v>
      </c>
      <c r="D68" s="10">
        <v>48</v>
      </c>
      <c r="E68" s="16">
        <v>1320</v>
      </c>
      <c r="F68" s="16">
        <v>0</v>
      </c>
      <c r="G68" s="16">
        <f t="shared" si="12"/>
        <v>63360</v>
      </c>
      <c r="H68" s="16">
        <f t="shared" si="13"/>
        <v>0</v>
      </c>
      <c r="I68" s="16">
        <f t="shared" si="14"/>
        <v>63360</v>
      </c>
    </row>
    <row r="69" spans="1:9" ht="28" x14ac:dyDescent="0.2">
      <c r="A69" s="3"/>
      <c r="B69" s="4" t="s">
        <v>103</v>
      </c>
      <c r="C69" s="1" t="s">
        <v>9</v>
      </c>
      <c r="D69" s="10">
        <v>2204.6999999999998</v>
      </c>
      <c r="E69" s="16">
        <v>0</v>
      </c>
      <c r="F69" s="16">
        <v>67.100000000000009</v>
      </c>
      <c r="G69" s="16">
        <f t="shared" si="12"/>
        <v>0</v>
      </c>
      <c r="H69" s="16">
        <f t="shared" si="13"/>
        <v>147935.37</v>
      </c>
      <c r="I69" s="16">
        <f t="shared" si="14"/>
        <v>147935.37</v>
      </c>
    </row>
    <row r="70" spans="1:9" x14ac:dyDescent="0.2">
      <c r="A70" s="3"/>
      <c r="B70" s="5" t="s">
        <v>37</v>
      </c>
      <c r="C70" s="1" t="s">
        <v>12</v>
      </c>
      <c r="D70" s="10">
        <v>6</v>
      </c>
      <c r="E70" s="16">
        <v>2520</v>
      </c>
      <c r="F70" s="16">
        <v>0</v>
      </c>
      <c r="G70" s="16">
        <f t="shared" si="12"/>
        <v>15120</v>
      </c>
      <c r="H70" s="16">
        <f t="shared" si="13"/>
        <v>0</v>
      </c>
      <c r="I70" s="16">
        <f t="shared" si="14"/>
        <v>15120</v>
      </c>
    </row>
    <row r="71" spans="1:9" ht="29" x14ac:dyDescent="0.2">
      <c r="A71" s="3"/>
      <c r="B71" s="6" t="s">
        <v>97</v>
      </c>
      <c r="C71" s="1" t="s">
        <v>9</v>
      </c>
      <c r="D71" s="10">
        <v>2204.6999999999998</v>
      </c>
      <c r="E71" s="16">
        <v>0</v>
      </c>
      <c r="F71" s="16">
        <v>268.40000000000003</v>
      </c>
      <c r="G71" s="16">
        <f t="shared" si="12"/>
        <v>0</v>
      </c>
      <c r="H71" s="16">
        <f t="shared" si="13"/>
        <v>591741.48</v>
      </c>
      <c r="I71" s="16">
        <f t="shared" si="14"/>
        <v>591741.48</v>
      </c>
    </row>
    <row r="72" spans="1:9" x14ac:dyDescent="0.2">
      <c r="A72" s="3"/>
      <c r="B72" s="5" t="s">
        <v>98</v>
      </c>
      <c r="C72" s="1" t="s">
        <v>12</v>
      </c>
      <c r="D72" s="10">
        <v>36</v>
      </c>
      <c r="E72" s="16">
        <v>1320</v>
      </c>
      <c r="F72" s="16">
        <v>0</v>
      </c>
      <c r="G72" s="16">
        <f t="shared" si="12"/>
        <v>47520</v>
      </c>
      <c r="H72" s="16">
        <f t="shared" si="13"/>
        <v>0</v>
      </c>
      <c r="I72" s="16">
        <f t="shared" si="14"/>
        <v>47520</v>
      </c>
    </row>
    <row r="73" spans="1:9" ht="28" x14ac:dyDescent="0.2">
      <c r="A73" s="3"/>
      <c r="B73" s="4" t="s">
        <v>104</v>
      </c>
      <c r="C73" s="1" t="s">
        <v>9</v>
      </c>
      <c r="D73" s="10">
        <v>2204.6999999999998</v>
      </c>
      <c r="E73" s="16">
        <v>0</v>
      </c>
      <c r="F73" s="16">
        <v>67.100000000000009</v>
      </c>
      <c r="G73" s="16">
        <f t="shared" si="12"/>
        <v>0</v>
      </c>
      <c r="H73" s="16">
        <f t="shared" si="13"/>
        <v>147935.37</v>
      </c>
      <c r="I73" s="16">
        <f t="shared" si="14"/>
        <v>147935.37</v>
      </c>
    </row>
    <row r="74" spans="1:9" x14ac:dyDescent="0.2">
      <c r="A74" s="3"/>
      <c r="B74" s="5" t="s">
        <v>100</v>
      </c>
      <c r="C74" s="1" t="s">
        <v>12</v>
      </c>
      <c r="D74" s="10">
        <v>6</v>
      </c>
      <c r="E74" s="16">
        <v>2310</v>
      </c>
      <c r="F74" s="16">
        <v>0</v>
      </c>
      <c r="G74" s="16">
        <f t="shared" si="12"/>
        <v>13860</v>
      </c>
      <c r="H74" s="16">
        <f t="shared" si="13"/>
        <v>0</v>
      </c>
      <c r="I74" s="16">
        <f t="shared" si="14"/>
        <v>13860</v>
      </c>
    </row>
    <row r="75" spans="1:9" ht="29" x14ac:dyDescent="0.2">
      <c r="A75" s="3"/>
      <c r="B75" s="6" t="s">
        <v>101</v>
      </c>
      <c r="C75" s="1" t="s">
        <v>9</v>
      </c>
      <c r="D75" s="10">
        <v>2204.6999999999998</v>
      </c>
      <c r="E75" s="16">
        <v>0</v>
      </c>
      <c r="F75" s="16">
        <v>268.40000000000003</v>
      </c>
      <c r="G75" s="16">
        <f t="shared" si="12"/>
        <v>0</v>
      </c>
      <c r="H75" s="16">
        <f t="shared" si="13"/>
        <v>591741.48</v>
      </c>
      <c r="I75" s="16">
        <f t="shared" si="14"/>
        <v>591741.48</v>
      </c>
    </row>
    <row r="76" spans="1:9" x14ac:dyDescent="0.2">
      <c r="A76" s="3"/>
      <c r="B76" s="5" t="s">
        <v>102</v>
      </c>
      <c r="C76" s="1" t="s">
        <v>12</v>
      </c>
      <c r="D76" s="10">
        <v>24</v>
      </c>
      <c r="E76" s="16">
        <v>1320</v>
      </c>
      <c r="F76" s="16">
        <v>0</v>
      </c>
      <c r="G76" s="16">
        <f t="shared" si="12"/>
        <v>31680</v>
      </c>
      <c r="H76" s="16">
        <f t="shared" si="13"/>
        <v>0</v>
      </c>
      <c r="I76" s="16">
        <f t="shared" si="14"/>
        <v>31680</v>
      </c>
    </row>
    <row r="77" spans="1:9" ht="28" x14ac:dyDescent="0.2">
      <c r="A77" s="3"/>
      <c r="B77" s="4" t="s">
        <v>104</v>
      </c>
      <c r="C77" s="1" t="s">
        <v>9</v>
      </c>
      <c r="D77" s="10">
        <v>2204.6999999999998</v>
      </c>
      <c r="E77" s="16">
        <v>0</v>
      </c>
      <c r="F77" s="16">
        <v>67.100000000000009</v>
      </c>
      <c r="G77" s="16">
        <f t="shared" si="12"/>
        <v>0</v>
      </c>
      <c r="H77" s="16">
        <f t="shared" si="13"/>
        <v>147935.37</v>
      </c>
      <c r="I77" s="16">
        <f t="shared" si="14"/>
        <v>147935.37</v>
      </c>
    </row>
    <row r="78" spans="1:9" x14ac:dyDescent="0.2">
      <c r="A78" s="3"/>
      <c r="B78" s="5" t="s">
        <v>37</v>
      </c>
      <c r="C78" s="1" t="s">
        <v>12</v>
      </c>
      <c r="D78" s="10"/>
      <c r="E78" s="16">
        <v>2310</v>
      </c>
      <c r="F78" s="16">
        <v>0</v>
      </c>
      <c r="G78" s="16">
        <f t="shared" si="12"/>
        <v>0</v>
      </c>
      <c r="H78" s="16">
        <f t="shared" si="13"/>
        <v>0</v>
      </c>
      <c r="I78" s="16">
        <f t="shared" si="14"/>
        <v>0</v>
      </c>
    </row>
    <row r="79" spans="1:9" ht="29" x14ac:dyDescent="0.2">
      <c r="A79" s="2"/>
      <c r="B79" s="6" t="s">
        <v>105</v>
      </c>
      <c r="C79" s="1" t="s">
        <v>9</v>
      </c>
      <c r="D79" s="10">
        <v>2204.6999999999998</v>
      </c>
      <c r="E79" s="16">
        <v>0</v>
      </c>
      <c r="F79" s="16">
        <v>268.40000000000003</v>
      </c>
      <c r="G79" s="16">
        <f t="shared" si="12"/>
        <v>0</v>
      </c>
      <c r="H79" s="16">
        <f t="shared" si="13"/>
        <v>591741.48</v>
      </c>
      <c r="I79" s="16">
        <f t="shared" si="14"/>
        <v>591741.48</v>
      </c>
    </row>
    <row r="80" spans="1:9" x14ac:dyDescent="0.2">
      <c r="A80" s="2"/>
      <c r="B80" s="5" t="s">
        <v>106</v>
      </c>
      <c r="C80" s="1" t="s">
        <v>12</v>
      </c>
      <c r="D80" s="10">
        <v>24</v>
      </c>
      <c r="E80" s="16">
        <v>1320</v>
      </c>
      <c r="F80" s="16">
        <v>0</v>
      </c>
      <c r="G80" s="16">
        <f t="shared" si="12"/>
        <v>31680</v>
      </c>
      <c r="H80" s="16">
        <f t="shared" si="13"/>
        <v>0</v>
      </c>
      <c r="I80" s="16">
        <f t="shared" si="14"/>
        <v>31680</v>
      </c>
    </row>
    <row r="81" spans="1:9" ht="28" x14ac:dyDescent="0.2">
      <c r="A81" s="2"/>
      <c r="B81" s="4" t="s">
        <v>104</v>
      </c>
      <c r="C81" s="1" t="s">
        <v>9</v>
      </c>
      <c r="D81" s="10">
        <v>2204.6999999999998</v>
      </c>
      <c r="E81" s="16">
        <v>0</v>
      </c>
      <c r="F81" s="16">
        <v>67.100000000000009</v>
      </c>
      <c r="G81" s="16">
        <f t="shared" si="12"/>
        <v>0</v>
      </c>
      <c r="H81" s="16">
        <f t="shared" si="13"/>
        <v>147935.37</v>
      </c>
      <c r="I81" s="16">
        <f t="shared" si="14"/>
        <v>147935.37</v>
      </c>
    </row>
    <row r="82" spans="1:9" x14ac:dyDescent="0.2">
      <c r="A82" s="2"/>
      <c r="B82" s="5" t="s">
        <v>107</v>
      </c>
      <c r="C82" s="1" t="s">
        <v>12</v>
      </c>
      <c r="D82" s="10">
        <v>4</v>
      </c>
      <c r="E82" s="16">
        <v>2310</v>
      </c>
      <c r="F82" s="16">
        <v>0</v>
      </c>
      <c r="G82" s="16">
        <f t="shared" si="12"/>
        <v>9240</v>
      </c>
      <c r="H82" s="16">
        <f t="shared" si="13"/>
        <v>0</v>
      </c>
      <c r="I82" s="16">
        <f t="shared" si="14"/>
        <v>9240</v>
      </c>
    </row>
    <row r="83" spans="1:9" ht="29" x14ac:dyDescent="0.2">
      <c r="A83" s="2"/>
      <c r="B83" s="6" t="s">
        <v>108</v>
      </c>
      <c r="C83" s="1" t="s">
        <v>9</v>
      </c>
      <c r="D83" s="10">
        <v>2204.6999999999998</v>
      </c>
      <c r="E83" s="16">
        <v>0</v>
      </c>
      <c r="F83" s="16">
        <v>268.40000000000003</v>
      </c>
      <c r="G83" s="16">
        <f t="shared" si="12"/>
        <v>0</v>
      </c>
      <c r="H83" s="16">
        <f t="shared" si="13"/>
        <v>591741.48</v>
      </c>
      <c r="I83" s="16">
        <f t="shared" si="14"/>
        <v>591741.48</v>
      </c>
    </row>
    <row r="84" spans="1:9" x14ac:dyDescent="0.2">
      <c r="A84" s="2"/>
      <c r="B84" s="5" t="s">
        <v>109</v>
      </c>
      <c r="C84" s="1" t="s">
        <v>12</v>
      </c>
      <c r="D84" s="10">
        <v>12</v>
      </c>
      <c r="E84" s="16">
        <v>1320</v>
      </c>
      <c r="F84" s="16">
        <v>0</v>
      </c>
      <c r="G84" s="16">
        <f t="shared" si="12"/>
        <v>15840</v>
      </c>
      <c r="H84" s="16">
        <f t="shared" si="13"/>
        <v>0</v>
      </c>
      <c r="I84" s="16">
        <f t="shared" si="14"/>
        <v>15840</v>
      </c>
    </row>
    <row r="85" spans="1:9" ht="28" x14ac:dyDescent="0.2">
      <c r="A85" s="2"/>
      <c r="B85" s="4" t="s">
        <v>104</v>
      </c>
      <c r="C85" s="1" t="s">
        <v>9</v>
      </c>
      <c r="D85" s="10">
        <v>2204.6999999999998</v>
      </c>
      <c r="E85" s="16">
        <v>0</v>
      </c>
      <c r="F85" s="16">
        <v>67.100000000000009</v>
      </c>
      <c r="G85" s="16">
        <f t="shared" si="12"/>
        <v>0</v>
      </c>
      <c r="H85" s="16">
        <f t="shared" si="13"/>
        <v>147935.37</v>
      </c>
      <c r="I85" s="16">
        <f t="shared" si="14"/>
        <v>147935.37</v>
      </c>
    </row>
    <row r="86" spans="1:9" x14ac:dyDescent="0.2">
      <c r="A86" s="2"/>
      <c r="B86" s="5" t="s">
        <v>107</v>
      </c>
      <c r="C86" s="1" t="s">
        <v>12</v>
      </c>
      <c r="D86" s="10">
        <v>4</v>
      </c>
      <c r="E86" s="16">
        <v>2310</v>
      </c>
      <c r="F86" s="16">
        <v>0</v>
      </c>
      <c r="G86" s="16">
        <f t="shared" si="12"/>
        <v>9240</v>
      </c>
      <c r="H86" s="16">
        <f t="shared" si="13"/>
        <v>0</v>
      </c>
      <c r="I86" s="16">
        <f t="shared" si="14"/>
        <v>9240</v>
      </c>
    </row>
    <row r="87" spans="1:9" x14ac:dyDescent="0.2">
      <c r="A87" s="2"/>
      <c r="B87" s="5" t="s">
        <v>14</v>
      </c>
      <c r="C87" s="1" t="s">
        <v>12</v>
      </c>
      <c r="D87" s="10">
        <v>3</v>
      </c>
      <c r="E87" s="16">
        <v>176000</v>
      </c>
      <c r="F87" s="16">
        <v>0</v>
      </c>
      <c r="G87" s="16">
        <f t="shared" si="12"/>
        <v>528000</v>
      </c>
      <c r="H87" s="16">
        <f t="shared" si="13"/>
        <v>0</v>
      </c>
      <c r="I87" s="16">
        <f t="shared" si="14"/>
        <v>528000</v>
      </c>
    </row>
    <row r="88" spans="1:9" x14ac:dyDescent="0.2">
      <c r="A88" s="2"/>
      <c r="B88" s="5" t="s">
        <v>13</v>
      </c>
      <c r="C88" s="1" t="s">
        <v>12</v>
      </c>
      <c r="D88" s="10">
        <v>3</v>
      </c>
      <c r="E88" s="16">
        <v>88000</v>
      </c>
      <c r="F88" s="16">
        <v>0</v>
      </c>
      <c r="G88" s="16">
        <f t="shared" si="12"/>
        <v>264000</v>
      </c>
      <c r="H88" s="16">
        <f t="shared" si="13"/>
        <v>0</v>
      </c>
      <c r="I88" s="16">
        <f t="shared" si="14"/>
        <v>264000</v>
      </c>
    </row>
    <row r="89" spans="1:9" x14ac:dyDescent="0.2">
      <c r="A89" s="2"/>
      <c r="B89" s="9" t="s">
        <v>38</v>
      </c>
      <c r="C89" s="23"/>
      <c r="D89" s="23"/>
      <c r="E89" s="16"/>
      <c r="F89" s="16">
        <v>0</v>
      </c>
      <c r="G89" s="16">
        <f t="shared" si="12"/>
        <v>0</v>
      </c>
      <c r="H89" s="16">
        <f t="shared" si="13"/>
        <v>0</v>
      </c>
      <c r="I89" s="16">
        <f t="shared" si="14"/>
        <v>0</v>
      </c>
    </row>
    <row r="90" spans="1:9" ht="43" x14ac:dyDescent="0.2">
      <c r="A90" s="2"/>
      <c r="B90" s="6" t="s">
        <v>39</v>
      </c>
      <c r="C90" s="1" t="s">
        <v>9</v>
      </c>
      <c r="D90" s="10">
        <v>283.92500000000001</v>
      </c>
      <c r="E90" s="16">
        <v>0</v>
      </c>
      <c r="F90" s="16">
        <v>134.20000000000002</v>
      </c>
      <c r="G90" s="16">
        <f t="shared" si="12"/>
        <v>0</v>
      </c>
      <c r="H90" s="16">
        <f t="shared" si="13"/>
        <v>38102.735000000008</v>
      </c>
      <c r="I90" s="16">
        <f t="shared" si="14"/>
        <v>38102.735000000008</v>
      </c>
    </row>
    <row r="91" spans="1:9" x14ac:dyDescent="0.2">
      <c r="A91" s="2"/>
      <c r="B91" s="8" t="s">
        <v>40</v>
      </c>
      <c r="C91" s="1" t="s">
        <v>12</v>
      </c>
      <c r="D91" s="10">
        <v>2</v>
      </c>
      <c r="E91" s="16">
        <v>4290</v>
      </c>
      <c r="F91" s="16">
        <v>0</v>
      </c>
      <c r="G91" s="16">
        <f t="shared" si="12"/>
        <v>8580</v>
      </c>
      <c r="H91" s="16">
        <f t="shared" si="13"/>
        <v>0</v>
      </c>
      <c r="I91" s="16">
        <f t="shared" si="14"/>
        <v>8580</v>
      </c>
    </row>
    <row r="92" spans="1:9" ht="28" x14ac:dyDescent="0.2">
      <c r="A92" s="2"/>
      <c r="B92" s="4" t="s">
        <v>10</v>
      </c>
      <c r="C92" s="1" t="s">
        <v>9</v>
      </c>
      <c r="D92" s="10">
        <v>283.92500000000001</v>
      </c>
      <c r="E92" s="16">
        <v>0</v>
      </c>
      <c r="F92" s="16">
        <v>33.550000000000004</v>
      </c>
      <c r="G92" s="16">
        <f t="shared" si="12"/>
        <v>0</v>
      </c>
      <c r="H92" s="16">
        <f t="shared" si="13"/>
        <v>9525.683750000002</v>
      </c>
      <c r="I92" s="16">
        <f t="shared" si="14"/>
        <v>9525.683750000002</v>
      </c>
    </row>
    <row r="93" spans="1:9" ht="29" x14ac:dyDescent="0.2">
      <c r="A93" s="2"/>
      <c r="B93" s="6" t="s">
        <v>110</v>
      </c>
      <c r="C93" s="1" t="s">
        <v>9</v>
      </c>
      <c r="D93" s="10">
        <v>283.92500000000001</v>
      </c>
      <c r="E93" s="16">
        <v>0</v>
      </c>
      <c r="F93" s="16">
        <v>134.20000000000002</v>
      </c>
      <c r="G93" s="16">
        <f t="shared" si="12"/>
        <v>0</v>
      </c>
      <c r="H93" s="16">
        <f t="shared" si="13"/>
        <v>38102.735000000008</v>
      </c>
      <c r="I93" s="16">
        <f t="shared" si="14"/>
        <v>38102.735000000008</v>
      </c>
    </row>
    <row r="94" spans="1:9" x14ac:dyDescent="0.2">
      <c r="A94" s="2"/>
      <c r="B94" s="8" t="s">
        <v>42</v>
      </c>
      <c r="C94" s="1" t="s">
        <v>12</v>
      </c>
      <c r="D94" s="10">
        <v>2</v>
      </c>
      <c r="E94" s="16">
        <v>4290</v>
      </c>
      <c r="F94" s="16">
        <v>0</v>
      </c>
      <c r="G94" s="16">
        <f t="shared" si="12"/>
        <v>8580</v>
      </c>
      <c r="H94" s="16">
        <f t="shared" si="13"/>
        <v>0</v>
      </c>
      <c r="I94" s="16">
        <f t="shared" si="14"/>
        <v>8580</v>
      </c>
    </row>
    <row r="95" spans="1:9" ht="28" x14ac:dyDescent="0.2">
      <c r="A95" s="2"/>
      <c r="B95" s="4" t="s">
        <v>104</v>
      </c>
      <c r="C95" s="1" t="s">
        <v>9</v>
      </c>
      <c r="D95" s="10">
        <v>283.92500000000001</v>
      </c>
      <c r="E95" s="16">
        <v>0</v>
      </c>
      <c r="F95" s="16">
        <v>33.550000000000004</v>
      </c>
      <c r="G95" s="16">
        <f t="shared" si="12"/>
        <v>0</v>
      </c>
      <c r="H95" s="16">
        <f t="shared" si="13"/>
        <v>9525.683750000002</v>
      </c>
      <c r="I95" s="16">
        <f t="shared" si="14"/>
        <v>9525.683750000002</v>
      </c>
    </row>
    <row r="96" spans="1:9" ht="29" x14ac:dyDescent="0.2">
      <c r="A96" s="2"/>
      <c r="B96" s="6" t="s">
        <v>108</v>
      </c>
      <c r="C96" s="1" t="s">
        <v>9</v>
      </c>
      <c r="D96" s="10">
        <v>283.92500000000001</v>
      </c>
      <c r="E96" s="16">
        <v>0</v>
      </c>
      <c r="F96" s="16">
        <v>134.20000000000002</v>
      </c>
      <c r="G96" s="16">
        <f t="shared" si="12"/>
        <v>0</v>
      </c>
      <c r="H96" s="16">
        <f t="shared" si="13"/>
        <v>38102.735000000008</v>
      </c>
      <c r="I96" s="16">
        <f t="shared" si="14"/>
        <v>38102.735000000008</v>
      </c>
    </row>
    <row r="97" spans="1:9" x14ac:dyDescent="0.2">
      <c r="A97" s="2"/>
      <c r="B97" s="8" t="s">
        <v>43</v>
      </c>
      <c r="C97" s="1" t="s">
        <v>12</v>
      </c>
      <c r="D97" s="10">
        <v>2</v>
      </c>
      <c r="E97" s="16">
        <v>4290</v>
      </c>
      <c r="F97" s="16">
        <v>0</v>
      </c>
      <c r="G97" s="16">
        <f t="shared" si="12"/>
        <v>8580</v>
      </c>
      <c r="H97" s="16">
        <f t="shared" si="13"/>
        <v>0</v>
      </c>
      <c r="I97" s="16">
        <f t="shared" si="14"/>
        <v>8580</v>
      </c>
    </row>
    <row r="98" spans="1:9" ht="28" x14ac:dyDescent="0.2">
      <c r="A98" s="2"/>
      <c r="B98" s="4" t="s">
        <v>104</v>
      </c>
      <c r="C98" s="1" t="s">
        <v>9</v>
      </c>
      <c r="D98" s="10">
        <v>283.92500000000001</v>
      </c>
      <c r="E98" s="16">
        <v>0</v>
      </c>
      <c r="F98" s="16">
        <v>33.550000000000004</v>
      </c>
      <c r="G98" s="16">
        <f t="shared" si="12"/>
        <v>0</v>
      </c>
      <c r="H98" s="16">
        <f t="shared" si="13"/>
        <v>9525.683750000002</v>
      </c>
      <c r="I98" s="16">
        <f t="shared" si="14"/>
        <v>9525.683750000002</v>
      </c>
    </row>
    <row r="99" spans="1:9" x14ac:dyDescent="0.2">
      <c r="A99" s="2"/>
      <c r="B99" s="5" t="s">
        <v>107</v>
      </c>
      <c r="C99" s="1" t="s">
        <v>12</v>
      </c>
      <c r="D99" s="10">
        <v>2</v>
      </c>
      <c r="E99" s="16">
        <v>2310</v>
      </c>
      <c r="F99" s="16">
        <v>0</v>
      </c>
      <c r="G99" s="16">
        <f t="shared" si="12"/>
        <v>4620</v>
      </c>
      <c r="H99" s="16">
        <f t="shared" si="13"/>
        <v>0</v>
      </c>
      <c r="I99" s="16">
        <f t="shared" si="14"/>
        <v>4620</v>
      </c>
    </row>
    <row r="100" spans="1:9" x14ac:dyDescent="0.2">
      <c r="A100" s="2"/>
      <c r="B100" s="5" t="s">
        <v>44</v>
      </c>
      <c r="C100" s="1" t="s">
        <v>12</v>
      </c>
      <c r="D100" s="10">
        <v>1</v>
      </c>
      <c r="E100" s="16">
        <v>88000</v>
      </c>
      <c r="F100" s="16">
        <v>0</v>
      </c>
      <c r="G100" s="16">
        <f t="shared" si="12"/>
        <v>88000</v>
      </c>
      <c r="H100" s="16">
        <f t="shared" si="13"/>
        <v>0</v>
      </c>
      <c r="I100" s="16">
        <f t="shared" si="14"/>
        <v>88000</v>
      </c>
    </row>
    <row r="101" spans="1:9" x14ac:dyDescent="0.2">
      <c r="A101" s="2"/>
      <c r="B101" s="5" t="s">
        <v>45</v>
      </c>
      <c r="C101" s="1" t="s">
        <v>12</v>
      </c>
      <c r="D101" s="10">
        <v>1</v>
      </c>
      <c r="E101" s="16">
        <v>27500.000000000004</v>
      </c>
      <c r="F101" s="16">
        <v>0</v>
      </c>
      <c r="G101" s="16">
        <f t="shared" si="12"/>
        <v>27500.000000000004</v>
      </c>
      <c r="H101" s="16">
        <f t="shared" si="13"/>
        <v>0</v>
      </c>
      <c r="I101" s="16">
        <f t="shared" si="14"/>
        <v>27500.000000000004</v>
      </c>
    </row>
    <row r="102" spans="1:9" x14ac:dyDescent="0.2">
      <c r="A102" s="12"/>
      <c r="B102" s="19" t="s">
        <v>81</v>
      </c>
      <c r="C102" s="14"/>
      <c r="D102" s="15"/>
      <c r="E102" s="17"/>
      <c r="F102" s="17"/>
      <c r="G102" s="17">
        <f>SUM(G67:G101)</f>
        <v>1175400</v>
      </c>
      <c r="H102" s="17">
        <f>SUM(H67:H101)</f>
        <v>3989204.8762499993</v>
      </c>
      <c r="I102" s="17">
        <f t="shared" si="14"/>
        <v>5164604.8762499988</v>
      </c>
    </row>
    <row r="103" spans="1:9" x14ac:dyDescent="0.2">
      <c r="A103" s="12"/>
      <c r="B103" s="19" t="s">
        <v>83</v>
      </c>
      <c r="C103" s="14"/>
      <c r="D103" s="15"/>
      <c r="E103" s="17"/>
      <c r="F103" s="17"/>
      <c r="G103" s="20"/>
      <c r="H103" s="20"/>
      <c r="I103" s="17">
        <f>I102*0.07</f>
        <v>361522.34133749997</v>
      </c>
    </row>
    <row r="104" spans="1:9" x14ac:dyDescent="0.2">
      <c r="A104" s="12"/>
      <c r="B104" s="13" t="s">
        <v>93</v>
      </c>
      <c r="C104" s="14"/>
      <c r="D104" s="15"/>
      <c r="E104" s="17"/>
      <c r="F104" s="17"/>
      <c r="G104" s="18"/>
      <c r="H104" s="18"/>
      <c r="I104" s="18">
        <f>I102+I103</f>
        <v>5526127.2175874989</v>
      </c>
    </row>
    <row r="105" spans="1:9" x14ac:dyDescent="0.2">
      <c r="A105" s="12"/>
      <c r="B105" s="13" t="s">
        <v>82</v>
      </c>
      <c r="C105" s="14"/>
      <c r="D105" s="15"/>
      <c r="E105" s="17"/>
      <c r="F105" s="17"/>
      <c r="G105" s="17"/>
      <c r="H105" s="17"/>
      <c r="I105" s="18">
        <f>I104/D85</f>
        <v>2506.5211673186827</v>
      </c>
    </row>
    <row r="106" spans="1:9" x14ac:dyDescent="0.2">
      <c r="A106" s="32" t="s">
        <v>78</v>
      </c>
      <c r="B106" s="32"/>
      <c r="C106" s="32"/>
      <c r="D106" s="32"/>
      <c r="E106" s="32"/>
      <c r="F106" s="32"/>
      <c r="G106" s="32"/>
      <c r="H106" s="32"/>
      <c r="I106" s="32"/>
    </row>
    <row r="107" spans="1:9" x14ac:dyDescent="0.2">
      <c r="A107" s="3"/>
      <c r="B107" s="6" t="s">
        <v>46</v>
      </c>
      <c r="C107" s="1" t="s">
        <v>9</v>
      </c>
      <c r="D107" s="10">
        <v>2204.6999999999998</v>
      </c>
      <c r="E107" s="16">
        <v>0</v>
      </c>
      <c r="F107" s="16">
        <v>268.40000000000003</v>
      </c>
      <c r="G107" s="16">
        <f t="shared" ref="G107:G144" si="15">D107*E107</f>
        <v>0</v>
      </c>
      <c r="H107" s="16">
        <f t="shared" ref="H107:H144" si="16">D107*F107</f>
        <v>591741.48</v>
      </c>
      <c r="I107" s="16">
        <f t="shared" ref="I107:I145" si="17">G107+H107</f>
        <v>591741.48</v>
      </c>
    </row>
    <row r="108" spans="1:9" x14ac:dyDescent="0.2">
      <c r="A108" s="3"/>
      <c r="B108" s="5" t="s">
        <v>47</v>
      </c>
      <c r="C108" s="1" t="s">
        <v>18</v>
      </c>
      <c r="D108" s="10">
        <v>440.94</v>
      </c>
      <c r="E108" s="16">
        <v>3120</v>
      </c>
      <c r="F108" s="16">
        <v>0</v>
      </c>
      <c r="G108" s="16">
        <f t="shared" si="15"/>
        <v>1375732.8</v>
      </c>
      <c r="H108" s="16">
        <f t="shared" si="16"/>
        <v>0</v>
      </c>
      <c r="I108" s="16">
        <f t="shared" si="17"/>
        <v>1375732.8</v>
      </c>
    </row>
    <row r="109" spans="1:9" x14ac:dyDescent="0.2">
      <c r="A109" s="3"/>
      <c r="B109" s="5" t="s">
        <v>45</v>
      </c>
      <c r="C109" s="1" t="s">
        <v>12</v>
      </c>
      <c r="D109" s="10">
        <v>3</v>
      </c>
      <c r="E109" s="16">
        <v>9570</v>
      </c>
      <c r="F109" s="16">
        <v>0</v>
      </c>
      <c r="G109" s="16">
        <f t="shared" si="15"/>
        <v>28710</v>
      </c>
      <c r="H109" s="16">
        <f t="shared" si="16"/>
        <v>0</v>
      </c>
      <c r="I109" s="16">
        <f t="shared" si="17"/>
        <v>28710</v>
      </c>
    </row>
    <row r="110" spans="1:9" x14ac:dyDescent="0.2">
      <c r="A110" s="3"/>
      <c r="B110" s="5" t="s">
        <v>48</v>
      </c>
      <c r="C110" s="1" t="s">
        <v>12</v>
      </c>
      <c r="D110" s="10">
        <v>2</v>
      </c>
      <c r="E110" s="16">
        <v>35200</v>
      </c>
      <c r="F110" s="16">
        <v>0</v>
      </c>
      <c r="G110" s="16">
        <f t="shared" si="15"/>
        <v>70400</v>
      </c>
      <c r="H110" s="16">
        <f t="shared" si="16"/>
        <v>0</v>
      </c>
      <c r="I110" s="16">
        <f t="shared" si="17"/>
        <v>70400</v>
      </c>
    </row>
    <row r="111" spans="1:9" ht="29" x14ac:dyDescent="0.2">
      <c r="A111" s="3"/>
      <c r="B111" s="6" t="s">
        <v>49</v>
      </c>
      <c r="C111" s="1" t="s">
        <v>9</v>
      </c>
      <c r="D111" s="10">
        <v>2204.6999999999998</v>
      </c>
      <c r="E111" s="16">
        <v>0</v>
      </c>
      <c r="F111" s="16">
        <v>53.68</v>
      </c>
      <c r="G111" s="16">
        <f t="shared" si="15"/>
        <v>0</v>
      </c>
      <c r="H111" s="16">
        <f t="shared" si="16"/>
        <v>118348.29599999999</v>
      </c>
      <c r="I111" s="16">
        <f t="shared" si="17"/>
        <v>118348.29599999999</v>
      </c>
    </row>
    <row r="112" spans="1:9" x14ac:dyDescent="0.2">
      <c r="A112" s="3"/>
      <c r="B112" s="5" t="s">
        <v>50</v>
      </c>
      <c r="C112" s="1" t="s">
        <v>12</v>
      </c>
      <c r="D112" s="10">
        <v>48</v>
      </c>
      <c r="E112" s="16">
        <v>1320</v>
      </c>
      <c r="F112" s="16">
        <v>0</v>
      </c>
      <c r="G112" s="16">
        <f t="shared" si="15"/>
        <v>63360</v>
      </c>
      <c r="H112" s="16">
        <f t="shared" si="16"/>
        <v>0</v>
      </c>
      <c r="I112" s="16">
        <f t="shared" si="17"/>
        <v>63360</v>
      </c>
    </row>
    <row r="113" spans="1:9" ht="28" x14ac:dyDescent="0.2">
      <c r="A113" s="3"/>
      <c r="B113" s="4" t="s">
        <v>10</v>
      </c>
      <c r="C113" s="1" t="s">
        <v>9</v>
      </c>
      <c r="D113" s="10">
        <v>2204.6999999999998</v>
      </c>
      <c r="E113" s="16">
        <v>0</v>
      </c>
      <c r="F113" s="16">
        <v>13.42</v>
      </c>
      <c r="G113" s="16">
        <f t="shared" si="15"/>
        <v>0</v>
      </c>
      <c r="H113" s="16">
        <f t="shared" si="16"/>
        <v>29587.073999999997</v>
      </c>
      <c r="I113" s="16">
        <f t="shared" si="17"/>
        <v>29587.073999999997</v>
      </c>
    </row>
    <row r="114" spans="1:9" x14ac:dyDescent="0.2">
      <c r="A114" s="3"/>
      <c r="B114" s="5" t="s">
        <v>51</v>
      </c>
      <c r="C114" s="1" t="s">
        <v>12</v>
      </c>
      <c r="D114" s="10">
        <v>3</v>
      </c>
      <c r="E114" s="16">
        <v>2310</v>
      </c>
      <c r="F114" s="16">
        <v>0</v>
      </c>
      <c r="G114" s="16">
        <f t="shared" si="15"/>
        <v>6930</v>
      </c>
      <c r="H114" s="16">
        <f t="shared" si="16"/>
        <v>0</v>
      </c>
      <c r="I114" s="16">
        <f t="shared" si="17"/>
        <v>6930</v>
      </c>
    </row>
    <row r="115" spans="1:9" ht="29" x14ac:dyDescent="0.2">
      <c r="A115" s="3"/>
      <c r="B115" s="6" t="s">
        <v>52</v>
      </c>
      <c r="C115" s="1" t="s">
        <v>9</v>
      </c>
      <c r="D115" s="10">
        <v>2204.6999999999998</v>
      </c>
      <c r="E115" s="16">
        <v>0</v>
      </c>
      <c r="F115" s="16">
        <v>53.68</v>
      </c>
      <c r="G115" s="16">
        <f t="shared" si="15"/>
        <v>0</v>
      </c>
      <c r="H115" s="16">
        <f t="shared" si="16"/>
        <v>118348.29599999999</v>
      </c>
      <c r="I115" s="16">
        <f t="shared" si="17"/>
        <v>118348.29599999999</v>
      </c>
    </row>
    <row r="116" spans="1:9" x14ac:dyDescent="0.2">
      <c r="A116" s="3"/>
      <c r="B116" s="5" t="s">
        <v>53</v>
      </c>
      <c r="C116" s="1" t="s">
        <v>12</v>
      </c>
      <c r="D116" s="10">
        <v>36</v>
      </c>
      <c r="E116" s="16">
        <v>1320</v>
      </c>
      <c r="F116" s="16">
        <v>0</v>
      </c>
      <c r="G116" s="16">
        <f t="shared" si="15"/>
        <v>47520</v>
      </c>
      <c r="H116" s="16">
        <f t="shared" si="16"/>
        <v>0</v>
      </c>
      <c r="I116" s="16">
        <f t="shared" si="17"/>
        <v>47520</v>
      </c>
    </row>
    <row r="117" spans="1:9" ht="28" x14ac:dyDescent="0.2">
      <c r="A117" s="3"/>
      <c r="B117" s="4" t="s">
        <v>10</v>
      </c>
      <c r="C117" s="1" t="s">
        <v>9</v>
      </c>
      <c r="D117" s="10">
        <v>2204.6999999999998</v>
      </c>
      <c r="E117" s="16">
        <v>0</v>
      </c>
      <c r="F117" s="16">
        <v>13.42</v>
      </c>
      <c r="G117" s="16">
        <f t="shared" si="15"/>
        <v>0</v>
      </c>
      <c r="H117" s="16">
        <f t="shared" si="16"/>
        <v>29587.073999999997</v>
      </c>
      <c r="I117" s="16">
        <f t="shared" si="17"/>
        <v>29587.073999999997</v>
      </c>
    </row>
    <row r="118" spans="1:9" x14ac:dyDescent="0.2">
      <c r="A118" s="3"/>
      <c r="B118" s="5" t="s">
        <v>51</v>
      </c>
      <c r="C118" s="1" t="s">
        <v>12</v>
      </c>
      <c r="D118" s="10">
        <v>3</v>
      </c>
      <c r="E118" s="16">
        <v>2310</v>
      </c>
      <c r="F118" s="16">
        <v>0</v>
      </c>
      <c r="G118" s="16">
        <f t="shared" si="15"/>
        <v>6930</v>
      </c>
      <c r="H118" s="16">
        <f t="shared" si="16"/>
        <v>0</v>
      </c>
      <c r="I118" s="16">
        <f t="shared" si="17"/>
        <v>6930</v>
      </c>
    </row>
    <row r="119" spans="1:9" ht="29" x14ac:dyDescent="0.2">
      <c r="A119" s="2"/>
      <c r="B119" s="6" t="s">
        <v>54</v>
      </c>
      <c r="C119" s="1" t="s">
        <v>9</v>
      </c>
      <c r="D119" s="10">
        <v>2204.6999999999998</v>
      </c>
      <c r="E119" s="16">
        <v>0</v>
      </c>
      <c r="F119" s="16">
        <v>53.68</v>
      </c>
      <c r="G119" s="16">
        <f t="shared" si="15"/>
        <v>0</v>
      </c>
      <c r="H119" s="16">
        <f t="shared" si="16"/>
        <v>118348.29599999999</v>
      </c>
      <c r="I119" s="16">
        <f t="shared" si="17"/>
        <v>118348.29599999999</v>
      </c>
    </row>
    <row r="120" spans="1:9" x14ac:dyDescent="0.2">
      <c r="A120" s="2"/>
      <c r="B120" s="5" t="s">
        <v>55</v>
      </c>
      <c r="C120" s="1" t="s">
        <v>12</v>
      </c>
      <c r="D120" s="10">
        <v>24</v>
      </c>
      <c r="E120" s="16">
        <v>1320</v>
      </c>
      <c r="F120" s="16">
        <v>0</v>
      </c>
      <c r="G120" s="16">
        <f t="shared" si="15"/>
        <v>31680</v>
      </c>
      <c r="H120" s="16">
        <f t="shared" si="16"/>
        <v>0</v>
      </c>
      <c r="I120" s="16">
        <f t="shared" si="17"/>
        <v>31680</v>
      </c>
    </row>
    <row r="121" spans="1:9" ht="28" x14ac:dyDescent="0.2">
      <c r="A121" s="2"/>
      <c r="B121" s="4" t="s">
        <v>10</v>
      </c>
      <c r="C121" s="1" t="s">
        <v>9</v>
      </c>
      <c r="D121" s="10">
        <v>2204.6999999999998</v>
      </c>
      <c r="E121" s="16">
        <v>0</v>
      </c>
      <c r="F121" s="16">
        <v>13.42</v>
      </c>
      <c r="G121" s="16">
        <f t="shared" si="15"/>
        <v>0</v>
      </c>
      <c r="H121" s="16">
        <f t="shared" si="16"/>
        <v>29587.073999999997</v>
      </c>
      <c r="I121" s="16">
        <f t="shared" si="17"/>
        <v>29587.073999999997</v>
      </c>
    </row>
    <row r="122" spans="1:9" x14ac:dyDescent="0.2">
      <c r="A122" s="2"/>
      <c r="B122" s="5" t="s">
        <v>51</v>
      </c>
      <c r="C122" s="1" t="s">
        <v>12</v>
      </c>
      <c r="D122" s="10">
        <v>3</v>
      </c>
      <c r="E122" s="16">
        <v>2310</v>
      </c>
      <c r="F122" s="16">
        <v>0</v>
      </c>
      <c r="G122" s="16">
        <f t="shared" si="15"/>
        <v>6930</v>
      </c>
      <c r="H122" s="16">
        <f t="shared" si="16"/>
        <v>0</v>
      </c>
      <c r="I122" s="16">
        <f t="shared" si="17"/>
        <v>6930</v>
      </c>
    </row>
    <row r="123" spans="1:9" ht="29" x14ac:dyDescent="0.2">
      <c r="A123" s="2"/>
      <c r="B123" s="6" t="s">
        <v>56</v>
      </c>
      <c r="C123" s="1" t="s">
        <v>9</v>
      </c>
      <c r="D123" s="10">
        <v>2204.6999999999998</v>
      </c>
      <c r="E123" s="16">
        <v>0</v>
      </c>
      <c r="F123" s="16">
        <v>53.68</v>
      </c>
      <c r="G123" s="16">
        <f t="shared" si="15"/>
        <v>0</v>
      </c>
      <c r="H123" s="16">
        <f t="shared" si="16"/>
        <v>118348.29599999999</v>
      </c>
      <c r="I123" s="16">
        <f t="shared" si="17"/>
        <v>118348.29599999999</v>
      </c>
    </row>
    <row r="124" spans="1:9" x14ac:dyDescent="0.2">
      <c r="A124" s="2"/>
      <c r="B124" s="5" t="s">
        <v>57</v>
      </c>
      <c r="C124" s="1" t="s">
        <v>12</v>
      </c>
      <c r="D124" s="10">
        <v>24</v>
      </c>
      <c r="E124" s="16">
        <v>1320</v>
      </c>
      <c r="F124" s="16">
        <v>0</v>
      </c>
      <c r="G124" s="16">
        <f t="shared" si="15"/>
        <v>31680</v>
      </c>
      <c r="H124" s="16">
        <f t="shared" si="16"/>
        <v>0</v>
      </c>
      <c r="I124" s="16">
        <f t="shared" si="17"/>
        <v>31680</v>
      </c>
    </row>
    <row r="125" spans="1:9" ht="28" x14ac:dyDescent="0.2">
      <c r="A125" s="2"/>
      <c r="B125" s="4" t="s">
        <v>10</v>
      </c>
      <c r="C125" s="1" t="s">
        <v>9</v>
      </c>
      <c r="D125" s="10">
        <v>2204.6999999999998</v>
      </c>
      <c r="E125" s="16">
        <v>0</v>
      </c>
      <c r="F125" s="16">
        <v>13.42</v>
      </c>
      <c r="G125" s="16">
        <f t="shared" si="15"/>
        <v>0</v>
      </c>
      <c r="H125" s="16">
        <f t="shared" si="16"/>
        <v>29587.073999999997</v>
      </c>
      <c r="I125" s="16">
        <f t="shared" si="17"/>
        <v>29587.073999999997</v>
      </c>
    </row>
    <row r="126" spans="1:9" x14ac:dyDescent="0.2">
      <c r="A126" s="2"/>
      <c r="B126" s="5" t="s">
        <v>51</v>
      </c>
      <c r="C126" s="1" t="s">
        <v>12</v>
      </c>
      <c r="D126" s="10">
        <v>3</v>
      </c>
      <c r="E126" s="16">
        <v>2310</v>
      </c>
      <c r="F126" s="16">
        <v>0</v>
      </c>
      <c r="G126" s="16">
        <f t="shared" si="15"/>
        <v>6930</v>
      </c>
      <c r="H126" s="16">
        <f t="shared" si="16"/>
        <v>0</v>
      </c>
      <c r="I126" s="16">
        <f t="shared" si="17"/>
        <v>6930</v>
      </c>
    </row>
    <row r="127" spans="1:9" x14ac:dyDescent="0.2">
      <c r="A127" s="2"/>
      <c r="B127" s="5" t="s">
        <v>13</v>
      </c>
      <c r="C127" s="1" t="s">
        <v>12</v>
      </c>
      <c r="D127" s="10">
        <v>3</v>
      </c>
      <c r="E127" s="16">
        <v>0</v>
      </c>
      <c r="F127" s="16">
        <v>0</v>
      </c>
      <c r="G127" s="16">
        <f t="shared" si="15"/>
        <v>0</v>
      </c>
      <c r="H127" s="16">
        <f t="shared" si="16"/>
        <v>0</v>
      </c>
      <c r="I127" s="16">
        <f t="shared" si="17"/>
        <v>0</v>
      </c>
    </row>
    <row r="128" spans="1:9" x14ac:dyDescent="0.2">
      <c r="A128" s="2"/>
      <c r="B128" s="5" t="s">
        <v>58</v>
      </c>
      <c r="C128" s="1" t="s">
        <v>12</v>
      </c>
      <c r="D128" s="10">
        <v>3</v>
      </c>
      <c r="E128" s="16">
        <v>0</v>
      </c>
      <c r="F128" s="16">
        <v>0</v>
      </c>
      <c r="G128" s="16">
        <f t="shared" si="15"/>
        <v>0</v>
      </c>
      <c r="H128" s="16">
        <f t="shared" si="16"/>
        <v>0</v>
      </c>
      <c r="I128" s="16">
        <f t="shared" si="17"/>
        <v>0</v>
      </c>
    </row>
    <row r="129" spans="1:9" x14ac:dyDescent="0.2">
      <c r="A129" s="2"/>
      <c r="B129" s="9" t="s">
        <v>38</v>
      </c>
      <c r="C129" s="23"/>
      <c r="D129" s="23"/>
      <c r="E129" s="16"/>
      <c r="F129" s="16">
        <v>0</v>
      </c>
      <c r="G129" s="16">
        <f t="shared" si="15"/>
        <v>0</v>
      </c>
      <c r="H129" s="16">
        <f t="shared" si="16"/>
        <v>0</v>
      </c>
      <c r="I129" s="16">
        <f t="shared" si="17"/>
        <v>0</v>
      </c>
    </row>
    <row r="130" spans="1:9" ht="43" x14ac:dyDescent="0.2">
      <c r="A130" s="2"/>
      <c r="B130" s="6" t="s">
        <v>41</v>
      </c>
      <c r="C130" s="1" t="s">
        <v>9</v>
      </c>
      <c r="D130" s="10">
        <v>283.92500000000001</v>
      </c>
      <c r="E130" s="16">
        <v>0</v>
      </c>
      <c r="F130" s="16">
        <v>53.68</v>
      </c>
      <c r="G130" s="16">
        <f t="shared" si="15"/>
        <v>0</v>
      </c>
      <c r="H130" s="16">
        <f t="shared" si="16"/>
        <v>15241.094000000001</v>
      </c>
      <c r="I130" s="16">
        <f t="shared" si="17"/>
        <v>15241.094000000001</v>
      </c>
    </row>
    <row r="131" spans="1:9" x14ac:dyDescent="0.2">
      <c r="A131" s="2"/>
      <c r="B131" s="8" t="s">
        <v>59</v>
      </c>
      <c r="C131" s="1" t="s">
        <v>12</v>
      </c>
      <c r="D131" s="10">
        <v>1</v>
      </c>
      <c r="E131" s="16">
        <v>1540.0000000000002</v>
      </c>
      <c r="F131" s="16">
        <v>0</v>
      </c>
      <c r="G131" s="16">
        <f t="shared" si="15"/>
        <v>1540.0000000000002</v>
      </c>
      <c r="H131" s="16">
        <f t="shared" si="16"/>
        <v>0</v>
      </c>
      <c r="I131" s="16">
        <f t="shared" si="17"/>
        <v>1540.0000000000002</v>
      </c>
    </row>
    <row r="132" spans="1:9" ht="28" x14ac:dyDescent="0.2">
      <c r="A132" s="2"/>
      <c r="B132" s="4" t="s">
        <v>10</v>
      </c>
      <c r="C132" s="1" t="s">
        <v>9</v>
      </c>
      <c r="D132" s="10">
        <v>283.92500000000001</v>
      </c>
      <c r="E132" s="16">
        <v>0</v>
      </c>
      <c r="F132" s="16">
        <v>13.42</v>
      </c>
      <c r="G132" s="16">
        <f t="shared" si="15"/>
        <v>0</v>
      </c>
      <c r="H132" s="16">
        <f t="shared" si="16"/>
        <v>3810.2735000000002</v>
      </c>
      <c r="I132" s="16">
        <f t="shared" si="17"/>
        <v>3810.2735000000002</v>
      </c>
    </row>
    <row r="133" spans="1:9" ht="43" x14ac:dyDescent="0.2">
      <c r="A133" s="2"/>
      <c r="B133" s="6" t="s">
        <v>60</v>
      </c>
      <c r="C133" s="1" t="s">
        <v>9</v>
      </c>
      <c r="D133" s="10">
        <v>283.92500000000001</v>
      </c>
      <c r="E133" s="16">
        <v>0</v>
      </c>
      <c r="F133" s="16">
        <v>53.68</v>
      </c>
      <c r="G133" s="16">
        <f t="shared" si="15"/>
        <v>0</v>
      </c>
      <c r="H133" s="16">
        <f t="shared" si="16"/>
        <v>15241.094000000001</v>
      </c>
      <c r="I133" s="16">
        <f t="shared" si="17"/>
        <v>15241.094000000001</v>
      </c>
    </row>
    <row r="134" spans="1:9" x14ac:dyDescent="0.2">
      <c r="A134" s="2"/>
      <c r="B134" s="8" t="s">
        <v>61</v>
      </c>
      <c r="C134" s="1" t="s">
        <v>12</v>
      </c>
      <c r="D134" s="10">
        <v>1</v>
      </c>
      <c r="E134" s="16">
        <v>1540.0000000000002</v>
      </c>
      <c r="F134" s="16">
        <v>0</v>
      </c>
      <c r="G134" s="16">
        <f t="shared" si="15"/>
        <v>1540.0000000000002</v>
      </c>
      <c r="H134" s="16">
        <f t="shared" si="16"/>
        <v>0</v>
      </c>
      <c r="I134" s="16">
        <f t="shared" si="17"/>
        <v>1540.0000000000002</v>
      </c>
    </row>
    <row r="135" spans="1:9" ht="28" x14ac:dyDescent="0.2">
      <c r="A135" s="2"/>
      <c r="B135" s="4" t="s">
        <v>10</v>
      </c>
      <c r="C135" s="1" t="s">
        <v>9</v>
      </c>
      <c r="D135" s="10">
        <v>283.92500000000001</v>
      </c>
      <c r="E135" s="16">
        <v>0</v>
      </c>
      <c r="F135" s="16">
        <v>13.42</v>
      </c>
      <c r="G135" s="16">
        <f t="shared" si="15"/>
        <v>0</v>
      </c>
      <c r="H135" s="16">
        <f t="shared" si="16"/>
        <v>3810.2735000000002</v>
      </c>
      <c r="I135" s="16">
        <f t="shared" si="17"/>
        <v>3810.2735000000002</v>
      </c>
    </row>
    <row r="136" spans="1:9" ht="43" x14ac:dyDescent="0.2">
      <c r="A136" s="2"/>
      <c r="B136" s="6" t="s">
        <v>62</v>
      </c>
      <c r="C136" s="1" t="s">
        <v>9</v>
      </c>
      <c r="D136" s="10">
        <v>283.92500000000001</v>
      </c>
      <c r="E136" s="16">
        <v>0</v>
      </c>
      <c r="F136" s="16">
        <v>53.68</v>
      </c>
      <c r="G136" s="16">
        <f t="shared" si="15"/>
        <v>0</v>
      </c>
      <c r="H136" s="16">
        <f t="shared" si="16"/>
        <v>15241.094000000001</v>
      </c>
      <c r="I136" s="16">
        <f t="shared" si="17"/>
        <v>15241.094000000001</v>
      </c>
    </row>
    <row r="137" spans="1:9" x14ac:dyDescent="0.2">
      <c r="A137" s="2"/>
      <c r="B137" s="8" t="s">
        <v>63</v>
      </c>
      <c r="C137" s="1" t="s">
        <v>12</v>
      </c>
      <c r="D137" s="10">
        <v>1</v>
      </c>
      <c r="E137" s="16">
        <v>1540.0000000000002</v>
      </c>
      <c r="F137" s="16">
        <v>0</v>
      </c>
      <c r="G137" s="16">
        <f t="shared" si="15"/>
        <v>1540.0000000000002</v>
      </c>
      <c r="H137" s="16">
        <f t="shared" si="16"/>
        <v>0</v>
      </c>
      <c r="I137" s="16">
        <f t="shared" si="17"/>
        <v>1540.0000000000002</v>
      </c>
    </row>
    <row r="138" spans="1:9" ht="28" x14ac:dyDescent="0.2">
      <c r="A138" s="2"/>
      <c r="B138" s="4" t="s">
        <v>10</v>
      </c>
      <c r="C138" s="1" t="s">
        <v>9</v>
      </c>
      <c r="D138" s="10">
        <v>283.92500000000001</v>
      </c>
      <c r="E138" s="16">
        <v>0</v>
      </c>
      <c r="F138" s="16">
        <v>13.42</v>
      </c>
      <c r="G138" s="16">
        <f t="shared" si="15"/>
        <v>0</v>
      </c>
      <c r="H138" s="16">
        <f t="shared" si="16"/>
        <v>3810.2735000000002</v>
      </c>
      <c r="I138" s="16">
        <f t="shared" si="17"/>
        <v>3810.2735000000002</v>
      </c>
    </row>
    <row r="139" spans="1:9" ht="29" x14ac:dyDescent="0.2">
      <c r="A139" s="2"/>
      <c r="B139" s="6" t="s">
        <v>56</v>
      </c>
      <c r="C139" s="1" t="s">
        <v>9</v>
      </c>
      <c r="D139" s="10">
        <v>283.92500000000001</v>
      </c>
      <c r="E139" s="16">
        <v>0</v>
      </c>
      <c r="F139" s="16">
        <v>53.68</v>
      </c>
      <c r="G139" s="16">
        <f t="shared" si="15"/>
        <v>0</v>
      </c>
      <c r="H139" s="16">
        <f t="shared" si="16"/>
        <v>15241.094000000001</v>
      </c>
      <c r="I139" s="16">
        <f t="shared" si="17"/>
        <v>15241.094000000001</v>
      </c>
    </row>
    <row r="140" spans="1:9" x14ac:dyDescent="0.2">
      <c r="A140" s="2"/>
      <c r="B140" s="8" t="s">
        <v>64</v>
      </c>
      <c r="C140" s="1" t="s">
        <v>12</v>
      </c>
      <c r="D140" s="10">
        <v>1</v>
      </c>
      <c r="E140" s="16">
        <v>1540.0000000000002</v>
      </c>
      <c r="F140" s="16">
        <v>0</v>
      </c>
      <c r="G140" s="16">
        <f t="shared" si="15"/>
        <v>1540.0000000000002</v>
      </c>
      <c r="H140" s="16">
        <f t="shared" si="16"/>
        <v>0</v>
      </c>
      <c r="I140" s="16">
        <f t="shared" si="17"/>
        <v>1540.0000000000002</v>
      </c>
    </row>
    <row r="141" spans="1:9" ht="28" x14ac:dyDescent="0.2">
      <c r="A141" s="2"/>
      <c r="B141" s="4" t="s">
        <v>10</v>
      </c>
      <c r="C141" s="1" t="s">
        <v>9</v>
      </c>
      <c r="D141" s="10">
        <v>283.92500000000001</v>
      </c>
      <c r="E141" s="16">
        <v>0</v>
      </c>
      <c r="F141" s="16">
        <v>13.42</v>
      </c>
      <c r="G141" s="16">
        <f t="shared" si="15"/>
        <v>0</v>
      </c>
      <c r="H141" s="16">
        <f t="shared" si="16"/>
        <v>3810.2735000000002</v>
      </c>
      <c r="I141" s="16">
        <f t="shared" si="17"/>
        <v>3810.2735000000002</v>
      </c>
    </row>
    <row r="142" spans="1:9" x14ac:dyDescent="0.2">
      <c r="A142" s="2"/>
      <c r="B142" s="5" t="s">
        <v>65</v>
      </c>
      <c r="C142" s="1" t="s">
        <v>12</v>
      </c>
      <c r="D142" s="10">
        <v>1</v>
      </c>
      <c r="E142" s="16">
        <v>2310</v>
      </c>
      <c r="F142" s="16">
        <v>0</v>
      </c>
      <c r="G142" s="16">
        <f t="shared" si="15"/>
        <v>2310</v>
      </c>
      <c r="H142" s="16">
        <f t="shared" si="16"/>
        <v>0</v>
      </c>
      <c r="I142" s="16">
        <f t="shared" si="17"/>
        <v>2310</v>
      </c>
    </row>
    <row r="143" spans="1:9" x14ac:dyDescent="0.2">
      <c r="A143" s="2"/>
      <c r="B143" s="5" t="s">
        <v>44</v>
      </c>
      <c r="C143" s="1" t="s">
        <v>12</v>
      </c>
      <c r="D143" s="10">
        <v>3</v>
      </c>
      <c r="E143" s="16">
        <v>88000</v>
      </c>
      <c r="F143" s="16">
        <v>0</v>
      </c>
      <c r="G143" s="16">
        <f t="shared" si="15"/>
        <v>264000</v>
      </c>
      <c r="H143" s="16">
        <f t="shared" si="16"/>
        <v>0</v>
      </c>
      <c r="I143" s="16">
        <f t="shared" si="17"/>
        <v>264000</v>
      </c>
    </row>
    <row r="144" spans="1:9" x14ac:dyDescent="0.2">
      <c r="A144" s="2"/>
      <c r="B144" s="5" t="s">
        <v>45</v>
      </c>
      <c r="C144" s="1" t="s">
        <v>12</v>
      </c>
      <c r="D144" s="10">
        <v>5</v>
      </c>
      <c r="E144" s="16">
        <v>27500.000000000004</v>
      </c>
      <c r="F144" s="16">
        <v>0</v>
      </c>
      <c r="G144" s="16">
        <f t="shared" si="15"/>
        <v>137500.00000000003</v>
      </c>
      <c r="H144" s="16">
        <f t="shared" si="16"/>
        <v>0</v>
      </c>
      <c r="I144" s="16">
        <f t="shared" si="17"/>
        <v>137500.00000000003</v>
      </c>
    </row>
    <row r="145" spans="1:9" x14ac:dyDescent="0.2">
      <c r="A145" s="12"/>
      <c r="B145" s="19" t="s">
        <v>81</v>
      </c>
      <c r="C145" s="14"/>
      <c r="D145" s="15"/>
      <c r="E145" s="17"/>
      <c r="F145" s="17"/>
      <c r="G145" s="17">
        <f>SUM(G107:G144)</f>
        <v>2086772.8</v>
      </c>
      <c r="H145" s="17">
        <f>SUM(H107:H144)</f>
        <v>1259688.4299999997</v>
      </c>
      <c r="I145" s="17">
        <f t="shared" si="17"/>
        <v>3346461.2299999995</v>
      </c>
    </row>
    <row r="146" spans="1:9" x14ac:dyDescent="0.2">
      <c r="A146" s="12"/>
      <c r="B146" s="19" t="s">
        <v>83</v>
      </c>
      <c r="C146" s="14"/>
      <c r="D146" s="15"/>
      <c r="E146" s="17"/>
      <c r="F146" s="17"/>
      <c r="G146" s="20"/>
      <c r="H146" s="20"/>
      <c r="I146" s="17">
        <f>I145*0.07</f>
        <v>234252.2861</v>
      </c>
    </row>
    <row r="147" spans="1:9" x14ac:dyDescent="0.2">
      <c r="A147" s="12"/>
      <c r="B147" s="13" t="s">
        <v>94</v>
      </c>
      <c r="C147" s="14"/>
      <c r="D147" s="15"/>
      <c r="E147" s="17"/>
      <c r="F147" s="17"/>
      <c r="G147" s="18"/>
      <c r="H147" s="18"/>
      <c r="I147" s="18">
        <f>I145+I146</f>
        <v>3580713.5160999997</v>
      </c>
    </row>
    <row r="148" spans="1:9" x14ac:dyDescent="0.2">
      <c r="A148" s="12"/>
      <c r="B148" s="13" t="s">
        <v>82</v>
      </c>
      <c r="C148" s="14"/>
      <c r="D148" s="15"/>
      <c r="E148" s="17"/>
      <c r="F148" s="17"/>
      <c r="G148" s="17"/>
      <c r="H148" s="17"/>
      <c r="I148" s="18">
        <f>I147/D123</f>
        <v>1624.1273262121831</v>
      </c>
    </row>
    <row r="149" spans="1:9" x14ac:dyDescent="0.2">
      <c r="A149" s="32" t="s">
        <v>79</v>
      </c>
      <c r="B149" s="32"/>
      <c r="C149" s="32"/>
      <c r="D149" s="32"/>
      <c r="E149" s="32"/>
      <c r="F149" s="32"/>
      <c r="G149" s="32"/>
      <c r="H149" s="32"/>
      <c r="I149" s="32"/>
    </row>
    <row r="150" spans="1:9" ht="28" x14ac:dyDescent="0.2">
      <c r="A150" s="3"/>
      <c r="B150" s="4" t="s">
        <v>66</v>
      </c>
      <c r="C150" s="1" t="s">
        <v>9</v>
      </c>
      <c r="D150" s="10">
        <v>2204.6999999999998</v>
      </c>
      <c r="E150" s="16">
        <v>0</v>
      </c>
      <c r="F150" s="16">
        <v>402.59999999999997</v>
      </c>
      <c r="G150" s="16">
        <f t="shared" ref="G150:G155" si="18">D150*E150</f>
        <v>0</v>
      </c>
      <c r="H150" s="16">
        <f t="shared" ref="H150:H155" si="19">D150*F150</f>
        <v>887612.21999999986</v>
      </c>
      <c r="I150" s="16">
        <f t="shared" ref="I150:I156" si="20">G150+H150</f>
        <v>887612.21999999986</v>
      </c>
    </row>
    <row r="151" spans="1:9" x14ac:dyDescent="0.2">
      <c r="A151" s="3"/>
      <c r="B151" s="5" t="s">
        <v>67</v>
      </c>
      <c r="C151" s="1" t="s">
        <v>18</v>
      </c>
      <c r="D151" s="10">
        <v>551.17499999999995</v>
      </c>
      <c r="E151" s="16">
        <v>495.00000000000006</v>
      </c>
      <c r="F151" s="16">
        <v>0</v>
      </c>
      <c r="G151" s="16">
        <f t="shared" si="18"/>
        <v>272831.625</v>
      </c>
      <c r="H151" s="16">
        <f t="shared" si="19"/>
        <v>0</v>
      </c>
      <c r="I151" s="16">
        <f t="shared" si="20"/>
        <v>272831.625</v>
      </c>
    </row>
    <row r="152" spans="1:9" ht="29" x14ac:dyDescent="0.2">
      <c r="A152" s="3"/>
      <c r="B152" s="6" t="s">
        <v>68</v>
      </c>
      <c r="C152" s="1" t="s">
        <v>9</v>
      </c>
      <c r="D152" s="10">
        <v>2204.6999999999998</v>
      </c>
      <c r="E152" s="16">
        <v>0</v>
      </c>
      <c r="F152" s="16">
        <v>805.19999999999993</v>
      </c>
      <c r="G152" s="16">
        <f t="shared" si="18"/>
        <v>0</v>
      </c>
      <c r="H152" s="16">
        <f t="shared" si="19"/>
        <v>1775224.4399999997</v>
      </c>
      <c r="I152" s="16">
        <f t="shared" si="20"/>
        <v>1775224.4399999997</v>
      </c>
    </row>
    <row r="153" spans="1:9" x14ac:dyDescent="0.2">
      <c r="A153" s="3"/>
      <c r="B153" s="5" t="s">
        <v>69</v>
      </c>
      <c r="C153" s="1" t="s">
        <v>18</v>
      </c>
      <c r="D153" s="10">
        <v>1102.3499999999999</v>
      </c>
      <c r="E153" s="16">
        <v>2420</v>
      </c>
      <c r="F153" s="16">
        <v>0</v>
      </c>
      <c r="G153" s="16">
        <f t="shared" si="18"/>
        <v>2667687</v>
      </c>
      <c r="H153" s="16">
        <f t="shared" si="19"/>
        <v>0</v>
      </c>
      <c r="I153" s="16">
        <f t="shared" si="20"/>
        <v>2667687</v>
      </c>
    </row>
    <row r="154" spans="1:9" x14ac:dyDescent="0.2">
      <c r="A154" s="3"/>
      <c r="B154" s="5" t="s">
        <v>45</v>
      </c>
      <c r="C154" s="1" t="s">
        <v>12</v>
      </c>
      <c r="D154" s="10">
        <v>3</v>
      </c>
      <c r="E154" s="16">
        <v>11000</v>
      </c>
      <c r="F154" s="16">
        <v>0</v>
      </c>
      <c r="G154" s="16">
        <f t="shared" si="18"/>
        <v>33000</v>
      </c>
      <c r="H154" s="16">
        <f t="shared" si="19"/>
        <v>0</v>
      </c>
      <c r="I154" s="16">
        <f t="shared" si="20"/>
        <v>33000</v>
      </c>
    </row>
    <row r="155" spans="1:9" x14ac:dyDescent="0.2">
      <c r="A155" s="3"/>
      <c r="B155" s="5" t="s">
        <v>48</v>
      </c>
      <c r="C155" s="1" t="s">
        <v>12</v>
      </c>
      <c r="D155" s="10">
        <v>3</v>
      </c>
      <c r="E155" s="16">
        <v>35200</v>
      </c>
      <c r="F155" s="16">
        <v>0</v>
      </c>
      <c r="G155" s="16">
        <f t="shared" si="18"/>
        <v>105600</v>
      </c>
      <c r="H155" s="16">
        <f t="shared" si="19"/>
        <v>0</v>
      </c>
      <c r="I155" s="16">
        <f t="shared" si="20"/>
        <v>105600</v>
      </c>
    </row>
    <row r="156" spans="1:9" x14ac:dyDescent="0.2">
      <c r="A156" s="12"/>
      <c r="B156" s="19" t="s">
        <v>81</v>
      </c>
      <c r="C156" s="14"/>
      <c r="D156" s="15"/>
      <c r="E156" s="17"/>
      <c r="F156" s="17"/>
      <c r="G156" s="17">
        <f>SUM(G150:G155)</f>
        <v>3079118.625</v>
      </c>
      <c r="H156" s="17">
        <f>SUM(H150:H155)</f>
        <v>2662836.6599999997</v>
      </c>
      <c r="I156" s="17">
        <f t="shared" si="20"/>
        <v>5741955.2850000001</v>
      </c>
    </row>
    <row r="157" spans="1:9" x14ac:dyDescent="0.2">
      <c r="A157" s="12"/>
      <c r="B157" s="19" t="s">
        <v>83</v>
      </c>
      <c r="C157" s="14"/>
      <c r="D157" s="15"/>
      <c r="E157" s="17"/>
      <c r="F157" s="17"/>
      <c r="G157" s="20"/>
      <c r="H157" s="20"/>
      <c r="I157" s="17">
        <f>I156*0.07</f>
        <v>401936.86995000002</v>
      </c>
    </row>
    <row r="158" spans="1:9" x14ac:dyDescent="0.2">
      <c r="A158" s="12"/>
      <c r="B158" s="13" t="s">
        <v>95</v>
      </c>
      <c r="C158" s="14"/>
      <c r="D158" s="15"/>
      <c r="E158" s="17"/>
      <c r="F158" s="17"/>
      <c r="G158" s="18"/>
      <c r="H158" s="18"/>
      <c r="I158" s="18">
        <f>I156+I157</f>
        <v>6143892.1549500003</v>
      </c>
    </row>
    <row r="159" spans="1:9" x14ac:dyDescent="0.2">
      <c r="A159" s="12"/>
      <c r="B159" s="13" t="s">
        <v>82</v>
      </c>
      <c r="C159" s="14"/>
      <c r="D159" s="15"/>
      <c r="E159" s="17"/>
      <c r="F159" s="17"/>
      <c r="G159" s="17"/>
      <c r="H159" s="17"/>
      <c r="I159" s="18">
        <f>I158/D152</f>
        <v>2786.7247947339779</v>
      </c>
    </row>
    <row r="160" spans="1:9" x14ac:dyDescent="0.2">
      <c r="A160" s="24"/>
      <c r="B160" s="25" t="s">
        <v>111</v>
      </c>
      <c r="C160" s="26"/>
      <c r="D160" s="27"/>
      <c r="E160" s="28"/>
      <c r="F160" s="28"/>
      <c r="G160" s="29"/>
      <c r="H160" s="29"/>
      <c r="I160" s="29">
        <f>I22+I36+I47+I64+I104+I147+I158</f>
        <v>45478157.80184225</v>
      </c>
    </row>
    <row r="161" spans="1:9" x14ac:dyDescent="0.2">
      <c r="A161" s="24"/>
      <c r="B161" s="25" t="s">
        <v>82</v>
      </c>
      <c r="C161" s="26"/>
      <c r="D161" s="27"/>
      <c r="E161" s="28"/>
      <c r="F161" s="28"/>
      <c r="G161" s="28"/>
      <c r="H161" s="28"/>
      <c r="I161" s="29">
        <f>I23+I37+I48+I65+I105+I148+I159</f>
        <v>20627.821382429473</v>
      </c>
    </row>
  </sheetData>
  <mergeCells count="16">
    <mergeCell ref="A149:I149"/>
    <mergeCell ref="A24:H24"/>
    <mergeCell ref="I2:I4"/>
    <mergeCell ref="A2:A4"/>
    <mergeCell ref="B2:B4"/>
    <mergeCell ref="C2:C4"/>
    <mergeCell ref="D2:D4"/>
    <mergeCell ref="E2:E4"/>
    <mergeCell ref="F2:F4"/>
    <mergeCell ref="G2:G4"/>
    <mergeCell ref="H2:H4"/>
    <mergeCell ref="A5:I5"/>
    <mergeCell ref="A38:I38"/>
    <mergeCell ref="A106:I106"/>
    <mergeCell ref="A49:I49"/>
    <mergeCell ref="A66:I66"/>
  </mergeCells>
  <pageMargins left="0.7" right="0.7" top="0.75" bottom="0.75" header="0.3" footer="0.3"/>
  <pageSetup paperSize="9" scale="64" orientation="portrait" r:id="rId1"/>
  <ignoredErrors>
    <ignoredError sqref="I15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Полное</vt:lpstr>
      <vt:lpstr>Полное!Область_печати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2026-02-24T13:51:26Z</dcterms:modified>
</cp:coreProperties>
</file>